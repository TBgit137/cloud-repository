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2a7f5185d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563235810a4e7b"/>
    <x:sheet xmlns:r="http://schemas.openxmlformats.org/officeDocument/2006/relationships" name="Model measurements" sheetId="2" r:id="R8998be5acc554b2d"/>
    <x:sheet xmlns:r="http://schemas.openxmlformats.org/officeDocument/2006/relationships" name="Platform results" sheetId="3" r:id="Ra1c1cb6d1bce4f7a"/>
    <x:sheet xmlns:r="http://schemas.openxmlformats.org/officeDocument/2006/relationships" name="Trade-offs" sheetId="4" r:id="Rb4a75236b2d5499b"/>
    <x:sheet xmlns:r="http://schemas.openxmlformats.org/officeDocument/2006/relationships" name="Utilization" sheetId="5" r:id="R01d0b79838404b25"/>
    <x:sheet xmlns:r="http://schemas.openxmlformats.org/officeDocument/2006/relationships" name="Design cases" sheetId="6" r:id="R03e6231a78af496d"/>
    <x:sheet xmlns:r="http://schemas.openxmlformats.org/officeDocument/2006/relationships" name="Sources" sheetId="7" r:id="Rf79177e6d03f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00"/>
    <x:numFmt numFmtId="202" formatCode="#,##0"/>
    <x:numFmt numFmtId="203" formatCode="#,##0.0"/>
    <x:numFmt numFmtId="204" formatCode="0.00"/>
  </x:numFmts>
  <x:fonts count="6">
    <x:font>
      <x:sz val="11"/>
      <x:color theme="1"/>
      <x:name val="等线"/>
      <x:family val="2"/>
      <x:scheme val="minor"/>
    </x:font>
    <x:font>
      <x:b/>
      <x:sz val="14"/>
      <x:color rgb="FFFFFFFF"/>
      <x:name val="Arial"/>
      <x:family val="2"/>
      <x:scheme val="minor"/>
    </x:font>
    <x:font>
      <x:sz val="10"/>
      <x:color theme="1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sz val="10"/>
      <x:color rgb="FF1F2937"/>
      <x:name val="Arial"/>
      <x:family val="2"/>
      <x:scheme val="minor"/>
    </x:font>
    <x:font>
      <x:b/>
      <x:sz val="10"/>
      <x:color rgb="FF1F2937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202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bd2543a17484e" /><Relationship Type="http://schemas.openxmlformats.org/officeDocument/2006/relationships/theme" Target="/xl/theme/theme1.xml" Id="R5801119d5e4e4117" /><Relationship Type="http://schemas.openxmlformats.org/officeDocument/2006/relationships/sharedStrings" Target="/xl/sharedStrings.xml" Id="R93e14ea4898f4c2f" /><Relationship Type="http://schemas.openxmlformats.org/officeDocument/2006/relationships/worksheet" Target="/xl/worksheets/sheet1.xml" Id="R30563235810a4e7b" /><Relationship Type="http://schemas.openxmlformats.org/officeDocument/2006/relationships/worksheet" Target="/xl/worksheets/sheet2.xml" Id="R8998be5acc554b2d" /><Relationship Type="http://schemas.openxmlformats.org/officeDocument/2006/relationships/worksheet" Target="/xl/worksheets/sheet3.xml" Id="Ra1c1cb6d1bce4f7a" /><Relationship Type="http://schemas.openxmlformats.org/officeDocument/2006/relationships/worksheet" Target="/xl/worksheets/sheet4.xml" Id="Rb4a75236b2d5499b" /><Relationship Type="http://schemas.openxmlformats.org/officeDocument/2006/relationships/worksheet" Target="/xl/worksheets/sheet5.xml" Id="R01d0b79838404b25" /><Relationship Type="http://schemas.openxmlformats.org/officeDocument/2006/relationships/worksheet" Target="/xl/worksheets/sheet6.xml" Id="R03e6231a78af496d" /><Relationship Type="http://schemas.openxmlformats.org/officeDocument/2006/relationships/worksheet" Target="/xl/worksheets/sheet7.xml" Id="Rf79177e6d03f40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859577421d40d8" /><Relationship Type="http://schemas.openxmlformats.org/officeDocument/2006/relationships/chart" Target="/xl/drawings/charts/chart2.xml" Id="R76652d727b2142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Accuracy versus measured latency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Accuracy</c:v>
          </c:tx>
          <c:xVal>
            <c:numRef>
              <c:f>'Trade-offs'!$F$4:$F$11</c:f>
              <c:numCache>
                <c:formatCode>General</c:formatCode>
                <c:ptCount val="0"/>
              </c:numCache>
            </c:numRef>
          </c:xVal>
          <c:yVal>
            <c:numRef>
              <c:f>'Trade-offs'!$G$4:$G$11</c:f>
              <c:numCache>
                <c:formatCode>0.00%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(ms)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Batch throughput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Throughput</c:v>
          </c:tx>
          <c:marker>
            <c:symbol val="none"/>
          </c:marker>
          <c:cat>
            <c:strRef>
              <c:f>'Trade-offs'!$F$13:$F$17</c:f>
              <c:strCache>
                <c:ptCount val="0"/>
              </c:strCache>
            </c:strRef>
          </c:cat>
          <c:val>
            <c:numRef>
              <c:f>'Trade-offs'!$G$13:$G$17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Batch size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Throughput (samples/s)</a:t>
                </a:r>
              </a:p>
            </c:rich>
          </c:tx>
          <c:overlay val="0"/>
        </c:title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859577421d40d8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652d727b2142b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77f489645904b2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4" hidden="0" customWidth="1"/>
  </x:cols>
  <x:sheetData>
    <x:row r="1" ht="28" customHeight="1">
      <x:c r="A1" s="48" t="str">
        <x:v>Hardware-Aware Performance Benchmarks</x:v>
      </x:c>
      <x:c r="B1" s="48" t="str">
        <x:v>Hardware-Aware Performance Benchmarks</x:v>
      </x:c>
      <x:c r="C1" s="48" t="str">
        <x:v>Hardware-Aware Performance Benchmarks</x:v>
      </x:c>
    </x:row>
    <x:row r="2">
      <x:c r="A2" s="34"/>
      <x:c r="B2" s="34"/>
      <x:c r="C2" s="34"/>
    </x:row>
    <x:row r="3">
      <x:c r="A3" s="50" t="str">
        <x:v>Metric</x:v>
      </x:c>
      <x:c r="B3" s="50" t="str">
        <x:v>Value</x:v>
      </x:c>
      <x:c r="C3" s="50" t="str">
        <x:v>Context</x:v>
      </x:c>
    </x:row>
    <x:row r="4">
      <x:c r="A4" s="36" t="str">
        <x:v>Best accuracy</x:v>
      </x:c>
      <x:c r="B4" s="37" t="n">
        <x:v>0.9370999932289124</x:v>
      </x:c>
      <x:c r="C4" s="36" t="str">
        <x:v>Baseline / measured</x:v>
      </x:c>
    </x:row>
    <x:row r="5">
      <x:c r="A5" s="36" t="str">
        <x:v>Lowest measured latency</x:v>
      </x:c>
      <x:c r="B5" s="38" t="n">
        <x:v>0.5353844596538693</x:v>
      </x:c>
      <x:c r="C5" s="36" t="str">
        <x:v>Mixed precision / measured</x:v>
      </x:c>
    </x:row>
    <x:row r="6">
      <x:c r="A6" s="36" t="str">
        <x:v>Smallest model</x:v>
      </x:c>
      <x:c r="B6" s="38" t="n">
        <x:v>0.8384857177734375</x:v>
      </x:c>
      <x:c r="C6" s="36" t="str">
        <x:v>Dynamic-range INT8 / measured</x:v>
      </x:c>
    </x:row>
    <x:row r="7">
      <x:c r="A7" s="36" t="str">
        <x:v>Highest batch throughput</x:v>
      </x:c>
      <x:c r="B7" s="38" t="n">
        <x:v>9997.339778989752</x:v>
      </x:c>
      <x:c r="C7" s="36" t="str">
        <x:v>Batch 64 / measured</x:v>
      </x:c>
    </x:row>
    <x:row r="8">
      <x:c r="A8" s="36" t="str">
        <x:v>PTQ accuracy loss</x:v>
      </x:c>
      <x:c r="B8" s="37" t="n">
        <x:v>0.058699993228912395</x:v>
      </x:c>
      <x:c r="C8" s="36" t="str">
        <x:v>Percentage points</x:v>
      </x:c>
    </x:row>
    <x:row r="9">
      <x:c r="A9" s="36" t="str">
        <x:v>FLOPs reduction</x:v>
      </x:c>
      <x:c r="B9" s="37" t="n">
        <x:v>0.836421310991509</x:v>
      </x:c>
      <x:c r="C9" s="36" t="str">
        <x:v>Architecture reduction</x:v>
      </x:c>
    </x:row>
    <x:row r="10">
      <x:c r="A10" s="36" t="str">
        <x:v>Model-size reduction</x:v>
      </x:c>
      <x:c r="B10" s="37" t="n">
        <x:v>0.9639865883636748</x:v>
      </x:c>
      <x:c r="C10" s="36" t="str">
        <x:v>Baseline to PTQ INT8</x:v>
      </x:c>
    </x:row>
    <x:row r="11">
      <x:c r="A11" s="36" t="str">
        <x:v>QEMU-CM PTQ latency (ms)</x:v>
      </x:c>
      <x:c r="B11" s="38" t="n">
        <x:v>946</x:v>
      </x:c>
      <x:c r="C11" s="36" t="str">
        <x:v>QEMU simulation</x:v>
      </x:c>
    </x:row>
    <x:row r="12">
      <x:c r="A12" s="36" t="str">
        <x:v>Cortex-M model bytes</x:v>
      </x:c>
      <x:c r="B12" s="39" t="n">
        <x:v>982152</x:v>
      </x:c>
      <x:c r="C12" s="36" t="str">
        <x:v>PTQ INT8 file</x:v>
      </x:c>
    </x:row>
    <x:row r="13">
      <x:c r="A13" s="36" t="str">
        <x:v>Cortex-M tensor arena bytes</x:v>
      </x:c>
      <x:c r="B13" s="39" t="n">
        <x:v>707028</x:v>
      </x:c>
      <x:c r="C13" s="36" t="str">
        <x:v>TFLite Micro</x:v>
      </x:c>
    </x:row>
    <x:row r="14">
      <x:c r="A14" s="36" t="str">
        <x:v>Cortex-M fits 512 KiB SRAM</x:v>
      </x:c>
      <x:c r="B14" s="36" t="str">
        <x:v>No</x:v>
      </x:c>
      <x:c r="C14" s="36" t="str">
        <x:v>Memory validity check</x:v>
      </x:c>
    </x:row>
    <x:row r="15">
      <x:c r="A15" s="36" t="str">
        <x:v>WebGPU mean latency (ms)</x:v>
      </x:c>
      <x:c r="B15" s="38" t="n">
        <x:v>4.907</x:v>
      </x:c>
      <x:c r="C15" s="36" t="str">
        <x:v>Desktop WebGPU proxy</x:v>
      </x:c>
    </x:row>
    <x:row r="16">
      <x:c r="A16" s="36" t="str">
        <x:v>WebGPU median / P95 (ms)</x:v>
      </x:c>
      <x:c r="B16" s="38" t="str">
        <x:v>5 / 6.1</x:v>
      </x:c>
      <x:c r="C16" s="36" t="str">
        <x:v>100 measured runs</x:v>
      </x:c>
    </x:row>
    <x:row r="17">
      <x:c r="A17" s="34"/>
      <x:c r="B17" s="34"/>
      <x:c r="C17" s="34"/>
    </x:row>
    <x:row r="18">
      <x:c r="A18" s="34"/>
      <x:c r="B18" s="34"/>
      <x:c r="C18" s="34"/>
    </x:row>
    <x:row r="19">
      <x:c r="A19" s="51" t="str">
        <x:v>Interpretation: no single model dominates every objective. Mixed precision is fastest on the measured host; PTQ INT8 gives the strongest size reduction. The PTQ INT8 artifact fits 2 MiB flash, but its measured TFLite Micro arena exceeds the modeled 512 KiB SRAM. Platform latency and energy values remain analytical estimates except for the explicitly labelled native-x86, QEMU-CM, and WebGPU proxy measurements.</x:v>
      </x:c>
      <x:c r="B19" s="51"/>
      <x:c r="C19" s="51"/>
    </x:row>
    <x:row r="20">
      <x:c r="A20" s="51"/>
      <x:c r="B20" s="51"/>
      <x:c r="C20" s="51"/>
    </x:row>
    <x:row r="21">
      <x:c r="A21" s="51"/>
      <x:c r="B21" s="51"/>
      <x:c r="C21" s="51"/>
    </x:row>
    <x:row r="22">
      <x:c r="A22" s="51"/>
      <x:c r="B22" s="51"/>
      <x:c r="C22" s="51"/>
    </x:row>
    <x:row r="23">
      <x:c r="A23" s="51"/>
      <x:c r="B23" s="51"/>
      <x:c r="C23" s="51"/>
    </x:row>
  </x:sheetData>
  <x:mergeCells>
    <x:mergeCell ref="A1:C1"/>
    <x:mergeCell ref="A19:C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4" hidden="0" customWidth="1"/>
    <x:col min="5" max="5" width="12" hidden="0" customWidth="1"/>
    <x:col min="6" max="6" width="21" hidden="0" customWidth="1"/>
    <x:col min="7" max="7" width="14" hidden="0" customWidth="1"/>
    <x:col min="8" max="8" width="15" hidden="0" customWidth="1"/>
    <x:col min="9" max="9" width="18" hidden="0" customWidth="1"/>
    <x:col min="10" max="10" width="16" hidden="0" customWidth="1"/>
    <x:col min="11" max="11" width="27" hidden="0" customWidth="1"/>
  </x:cols>
  <x:sheetData>
    <x:row r="1" ht="28" customHeight="1">
      <x:c r="A1" s="48" t="str">
        <x:v>Model measurements</x:v>
      </x:c>
      <x:c r="B1" s="48" t="str">
        <x:v>Model measurements</x:v>
      </x:c>
      <x:c r="C1" s="48" t="str">
        <x:v>Model measurements</x:v>
      </x:c>
      <x:c r="D1" s="48" t="str">
        <x:v>Model measurements</x:v>
      </x:c>
      <x:c r="E1" s="48" t="str">
        <x:v>Model measurements</x:v>
      </x:c>
      <x:c r="F1" s="48" t="str">
        <x:v>Model measurements</x:v>
      </x:c>
      <x:c r="G1" s="48" t="str">
        <x:v>Model measurements</x:v>
      </x:c>
      <x:c r="H1" s="48" t="str">
        <x:v>Model measurements</x:v>
      </x:c>
      <x:c r="I1" s="48" t="str">
        <x:v>Model measurements</x:v>
      </x:c>
      <x:c r="J1" s="48" t="str">
        <x:v>Model measurements</x:v>
      </x:c>
      <x:c r="K1" s="48" t="str">
        <x:v>Model measurements</x:v>
      </x:c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 ht="30" customHeight="1">
      <x:c r="A3" s="55" t="str">
        <x:v>Model</x:v>
      </x:c>
      <x:c r="B3" s="55" t="str">
        <x:v>Type</x:v>
      </x:c>
      <x:c r="C3" s="55" t="str">
        <x:v>Accuracy</x:v>
      </x:c>
      <x:c r="D3" s="55" t="str">
        <x:v>Latency (ms)</x:v>
      </x:c>
      <x:c r="E3" s="55" t="str">
        <x:v>Size (MiB)</x:v>
      </x:c>
      <x:c r="F3" s="55" t="str">
        <x:v>Energy estimate (mJ)</x:v>
      </x:c>
      <x:c r="G3" s="55" t="str">
        <x:v>Parameters</x:v>
      </x:c>
      <x:c r="H3" s="55" t="str">
        <x:v>FLOPs</x:v>
      </x:c>
      <x:c r="I3" s="55" t="str">
        <x:v>Throughput (FPS)</x:v>
      </x:c>
      <x:c r="J3" s="55" t="str">
        <x:v>Backend</x:v>
      </x:c>
      <x:c r="K3" s="55" t="str">
        <x:v>Evidence</x:v>
      </x:c>
    </x:row>
    <x:row r="4">
      <x:c r="A4" s="41" t="str">
        <x:v>baseline</x:v>
      </x:c>
      <x:c r="B4" s="41" t="str">
        <x:v>Baseline</x:v>
      </x:c>
      <x:c r="C4" s="42" t="n">
        <x:v>0.9370999932289124</x:v>
      </x:c>
      <x:c r="D4" s="43" t="n">
        <x:v>2.4971620600081224</x:v>
      </x:c>
      <x:c r="E4" s="43" t="n">
        <x:v>26.008453369140625</x:v>
      </x:c>
      <x:c r="F4" s="43" t="n">
        <x:v>132.40423024105263</x:v>
      </x:c>
      <x:c r="G4" s="44" t="n">
        <x:v>2270794</x:v>
      </x:c>
      <x:c r="H4" s="44" t="n">
        <x:v>599594364</x:v>
      </x:c>
      <x:c r="I4" s="45" t="n">
        <x:f>1000/D4</x:f>
        <x:v>400.4545864343091</x:v>
      </x:c>
      <x:c r="J4" s="41" t="str">
        <x:v>Keras GPU</x:v>
      </x:c>
      <x:c r="K4" s="41" t="str">
        <x:v>Measured; energy estimated</x:v>
      </x:c>
    </x:row>
    <x:row r="5">
      <x:c r="A5" s="41" t="str">
        <x:v>latency_optimized</x:v>
      </x:c>
      <x:c r="B5" s="41" t="str">
        <x:v>Architecture</x:v>
      </x:c>
      <x:c r="C5" s="42" t="n">
        <x:v>0.8934</x:v>
      </x:c>
      <x:c r="D5" s="43" t="n">
        <x:v>2.4561327903938945</x:v>
      </x:c>
      <x:c r="E5" s="43" t="n">
        <x:v>8.483949661254883</x:v>
      </x:c>
      <x:c r="F5" s="43" t="n">
        <x:v>23.874606805263163</x:v>
      </x:c>
      <x:c r="G5" s="44" t="n">
        <x:v>719034</x:v>
      </x:c>
      <x:c r="H5" s="44" t="n">
        <x:v>98080860</x:v>
      </x:c>
      <x:c r="I5" s="45" t="n">
        <x:f>1000/D5</x:f>
        <x:v>407.14411041254334</x:v>
      </x:c>
      <x:c r="J5" s="41" t="str">
        <x:v>Keras GPU</x:v>
      </x:c>
      <x:c r="K5" s="41" t="str">
        <x:v>Measured; energy estimated</x:v>
      </x:c>
    </x:row>
    <x:row r="6">
      <x:c r="A6" s="41" t="str">
        <x:v>memory_optimized</x:v>
      </x:c>
      <x:c r="B6" s="41" t="str">
        <x:v>Architecture</x:v>
      </x:c>
      <x:c r="C6" s="42" t="n">
        <x:v>0.8443</x:v>
      </x:c>
      <x:c r="D6" s="43" t="n">
        <x:v>2.450955699532642</x:v>
      </x:c>
      <x:c r="E6" s="43" t="n">
        <x:v>3.238633155822754</x:v>
      </x:c>
      <x:c r="F6" s="43" t="n">
        <x:v>23.874606805263163</x:v>
      </x:c>
      <x:c r="G6" s="44" t="n">
        <x:v>719034</x:v>
      </x:c>
      <x:c r="H6" s="44" t="n">
        <x:v>98080860</x:v>
      </x:c>
      <x:c r="I6" s="45" t="n">
        <x:f>1000/D6</x:f>
        <x:v>408.00411047440963</x:v>
      </x:c>
      <x:c r="J6" s="41" t="str">
        <x:v>Keras GPU</x:v>
      </x:c>
      <x:c r="K6" s="41" t="str">
        <x:v>Measured; energy estimated</x:v>
      </x:c>
    </x:row>
    <x:row r="7">
      <x:c r="A7" s="41" t="str">
        <x:v>energy_optimized</x:v>
      </x:c>
      <x:c r="B7" s="41" t="str">
        <x:v>Architecture</x:v>
      </x:c>
      <x:c r="C7" s="42" t="n">
        <x:v>0.8746</x:v>
      </x:c>
      <x:c r="D7" s="43" t="n">
        <x:v>2.284400490098051</x:v>
      </x:c>
      <x:c r="E7" s="43" t="n">
        <x:v>8.501924514770508</x:v>
      </x:c>
      <x:c r="F7" s="43" t="n">
        <x:v>23.875566157894735</x:v>
      </x:c>
      <x:c r="G7" s="44" t="n">
        <x:v>719364</x:v>
      </x:c>
      <x:c r="H7" s="44" t="n">
        <x:v>98084760</x:v>
      </x:c>
      <x:c r="I7" s="45" t="n">
        <x:f>1000/D7</x:f>
        <x:v>437.75161331587617</x:v>
      </x:c>
      <x:c r="J7" s="41" t="str">
        <x:v>Keras GPU</x:v>
      </x:c>
      <x:c r="K7" s="41" t="str">
        <x:v>Measured; energy estimated</x:v>
      </x:c>
    </x:row>
    <x:row r="8">
      <x:c r="A8" s="41" t="str">
        <x:v>ptq_int8</x:v>
      </x:c>
      <x:c r="B8" s="41" t="str">
        <x:v>Quantization</x:v>
      </x:c>
      <x:c r="C8" s="42" t="n">
        <x:v>0.8784</x:v>
      </x:c>
      <x:c r="D8" s="43" t="n">
        <x:v>0.6629447799787158</x:v>
      </x:c>
      <x:c r="E8" s="43" t="n">
        <x:v>0.9366531372070312</x:v>
      </x:c>
      <x:c r="F8" s="43" t="n">
        <x:v>23.53408712526316</x:v>
      </x:c>
      <x:c r="G8" s="44" t="n">
        <x:v>719034</x:v>
      </x:c>
      <x:c r="H8" s="44" t="n">
        <x:v>98080860</x:v>
      </x:c>
      <x:c r="I8" s="45" t="n">
        <x:f>1000/D8</x:f>
        <x:v>1508.4212595083795</x:v>
      </x:c>
      <x:c r="J8" s="41" t="str">
        <x:v>TFLite CPU</x:v>
      </x:c>
      <x:c r="K8" s="41" t="str">
        <x:v>Measured; energy estimated</x:v>
      </x:c>
    </x:row>
    <x:row r="9">
      <x:c r="A9" s="41" t="str">
        <x:v>qat_int8</x:v>
      </x:c>
      <x:c r="B9" s="41" t="str">
        <x:v>Quantization</x:v>
      </x:c>
      <x:c r="C9" s="42" t="n">
        <x:v>0.8449</x:v>
      </x:c>
      <x:c r="D9" s="43" t="n">
        <x:v>0.6619670001236955</x:v>
      </x:c>
      <x:c r="E9" s="43" t="n">
        <x:v>0.9366531372070312</x:v>
      </x:c>
      <x:c r="F9" s="43" t="n">
        <x:v>23.53408712526316</x:v>
      </x:c>
      <x:c r="G9" s="44" t="n">
        <x:v>719034</x:v>
      </x:c>
      <x:c r="H9" s="44" t="n">
        <x:v>98080860</x:v>
      </x:c>
      <x:c r="I9" s="45" t="n">
        <x:f>1000/D9</x:f>
        <x:v>1510.6493221159658</x:v>
      </x:c>
      <x:c r="J9" s="41" t="str">
        <x:v>TFLite CPU</x:v>
      </x:c>
      <x:c r="K9" s="41" t="str">
        <x:v>Measured; energy estimated</x:v>
      </x:c>
    </x:row>
    <x:row r="10">
      <x:c r="A10" s="41" t="str">
        <x:v>mixed_precision</x:v>
      </x:c>
      <x:c r="B10" s="41" t="str">
        <x:v>Quantization</x:v>
      </x:c>
      <x:c r="C10" s="42" t="n">
        <x:v>0.8926</x:v>
      </x:c>
      <x:c r="D10" s="43" t="n">
        <x:v>0.5353844596538693</x:v>
      </x:c>
      <x:c r="E10" s="43" t="n">
        <x:v>1.3688468933105469</x:v>
      </x:c>
      <x:c r="F10" s="43" t="n">
        <x:v>23.744935165263158</x:v>
      </x:c>
      <x:c r="G10" s="44" t="n">
        <x:v>719034</x:v>
      </x:c>
      <x:c r="H10" s="44" t="n">
        <x:v>98080860</x:v>
      </x:c>
      <x:c r="I10" s="45" t="n">
        <x:f>1000/D10</x:f>
        <x:v>1867.8166352577898</x:v>
      </x:c>
      <x:c r="J10" s="41" t="str">
        <x:v>TFLite CPU</x:v>
      </x:c>
      <x:c r="K10" s="41" t="str">
        <x:v>Measured; energy estimated</x:v>
      </x:c>
    </x:row>
    <x:row r="11">
      <x:c r="A11" s="41" t="str">
        <x:v>dynamic_range</x:v>
      </x:c>
      <x:c r="B11" s="41" t="str">
        <x:v>Quantization</x:v>
      </x:c>
      <x:c r="C11" s="42" t="n">
        <x:v>0.8861</x:v>
      </x:c>
      <x:c r="D11" s="43" t="n">
        <x:v>0.9725343394529773</x:v>
      </x:c>
      <x:c r="E11" s="43" t="n">
        <x:v>0.8384857177734375</x:v>
      </x:c>
      <x:c r="F11" s="43" t="n">
        <x:v>23.694884005263162</x:v>
      </x:c>
      <x:c r="G11" s="44" t="n">
        <x:v>719034</x:v>
      </x:c>
      <x:c r="H11" s="44" t="n">
        <x:v>98080860</x:v>
      </x:c>
      <x:c r="I11" s="45" t="n">
        <x:f>1000/D11</x:f>
        <x:v>1028.2413272548004</x:v>
      </x:c>
      <x:c r="J11" s="41" t="str">
        <x:v>TFLite CPU</x:v>
      </x:c>
      <x:c r="K11" s="41" t="str">
        <x:v>Measured; energy estimated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12" hidden="0" customWidth="1"/>
    <x:col min="5" max="5" width="24" hidden="0" customWidth="1"/>
    <x:col min="6" max="6" width="24" hidden="0" customWidth="1"/>
    <x:col min="7" max="7" width="23" hidden="0" customWidth="1"/>
    <x:col min="8" max="8" width="18" hidden="0" customWidth="1"/>
    <x:col min="9" max="9" width="16" hidden="0" customWidth="1"/>
    <x:col min="10" max="10" width="52" hidden="0" customWidth="1"/>
  </x:cols>
  <x:sheetData>
    <x:row r="1" ht="28" customHeight="1">
      <x:c r="A1" s="48" t="str">
        <x:v>Platform results and evidence status</x:v>
      </x:c>
      <x:c r="B1" s="48" t="str">
        <x:v>Platform results and evidence status</x:v>
      </x:c>
      <x:c r="C1" s="48" t="str">
        <x:v>Platform results and evidence status</x:v>
      </x:c>
      <x:c r="D1" s="48" t="str">
        <x:v>Platform results and evidence status</x:v>
      </x:c>
      <x:c r="E1" s="48" t="str">
        <x:v>Platform results and evidence status</x:v>
      </x:c>
      <x:c r="F1" s="48" t="str">
        <x:v>Platform results and evidence status</x:v>
      </x:c>
      <x:c r="G1" s="48" t="str">
        <x:v>Platform results and evidence status</x:v>
      </x:c>
      <x:c r="H1" s="48" t="str">
        <x:v>Platform results and evidence status</x:v>
      </x:c>
      <x:c r="I1" s="48" t="str">
        <x:v>Platform results and evidence status</x:v>
      </x:c>
      <x:c r="J1" s="48" t="str">
        <x:v>Platform results and evidence status</x:v>
      </x:c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</x:row>
    <x:row r="3">
      <x:c r="A3" s="55" t="str">
        <x:v>Context</x:v>
      </x:c>
      <x:c r="B3" s="55" t="str">
        <x:v>Platform</x:v>
      </x:c>
      <x:c r="C3" s="55" t="str">
        <x:v>Model</x:v>
      </x:c>
      <x:c r="D3" s="55" t="str">
        <x:v>Accuracy</x:v>
      </x:c>
      <x:c r="E3" s="55" t="str">
        <x:v>Latency (ms)</x:v>
      </x:c>
      <x:c r="F3" s="55" t="str">
        <x:v>Model bytes</x:v>
      </x:c>
      <x:c r="G3" s="55" t="str">
        <x:v>Tensor arena bytes</x:v>
      </x:c>
      <x:c r="H3" s="55" t="str">
        <x:v>Median / P95 (ms)</x:v>
      </x:c>
      <x:c r="I3" s="55" t="str">
        <x:v>Evidence</x:v>
      </x:c>
      <x:c r="J3" s="55" t="str">
        <x:v>Notes</x:v>
      </x:c>
    </x:row>
    <x:row r="4">
      <x:c r="A4" s="41" t="str">
        <x:v>[native-x86]</x:v>
      </x:c>
      <x:c r="B4" s="41" t="str">
        <x:v>x86_64</x:v>
      </x:c>
      <x:c r="C4" s="41" t="str">
        <x:v>ptq_int8</x:v>
      </x:c>
      <x:c r="D4" s="42" t="n">
        <x:v>0.8784</x:v>
      </x:c>
      <x:c r="E4" s="43" t="n">
        <x:v>0.6629447799787158</x:v>
      </x:c>
      <x:c r="F4" s="44" t="n">
        <x:v>982152</x:v>
      </x:c>
      <x:c r="G4" s="44"/>
      <x:c r="H4" s="41"/>
      <x:c r="I4" s="41" t="str">
        <x:v>Measured</x:v>
      </x:c>
      <x:c r="J4" s="41" t="str">
        <x:v>TFLite CPU host measurement</x:v>
      </x:c>
    </x:row>
    <x:row r="5">
      <x:c r="A5" s="41" t="str">
        <x:v>[QEMU-CM]</x:v>
      </x:c>
      <x:c r="B5" s="41" t="str">
        <x:v>Cortex-M3 QEMU</x:v>
      </x:c>
      <x:c r="C5" s="41" t="str">
        <x:v>ptq_int8</x:v>
      </x:c>
      <x:c r="D5" s="42" t="n">
        <x:v>0.8784</x:v>
      </x:c>
      <x:c r="E5" s="43" t="n">
        <x:v>946</x:v>
      </x:c>
      <x:c r="F5" s="44" t="n">
        <x:v>982152</x:v>
      </x:c>
      <x:c r="G5" s="44" t="n">
        <x:v>707028</x:v>
      </x:c>
      <x:c r="H5" s="41"/>
      <x:c r="I5" s="41" t="str">
        <x:v>QEMU simulation</x:v>
      </x:c>
      <x:c r="J5" s="41" t="str">
        <x:v>Average of 5 runs; 10 ms clock resolution</x:v>
      </x:c>
    </x:row>
    <x:row r="6">
      <x:c r="A6" s="41" t="str">
        <x:v>[WebGPU-proxy]</x:v>
      </x:c>
      <x:c r="B6" s="41" t="str">
        <x:v>Desktop GPU</x:v>
      </x:c>
      <x:c r="C6" s="41" t="str">
        <x:v>latency_optimized</x:v>
      </x:c>
      <x:c r="D6" s="42" t="n">
        <x:v>0.8934</x:v>
      </x:c>
      <x:c r="E6" s="43" t="n">
        <x:v>4.907</x:v>
      </x:c>
      <x:c r="F6" s="44" t="n">
        <x:v>2805760</x:v>
      </x:c>
      <x:c r="G6" s="44"/>
      <x:c r="H6" s="41" t="str">
        <x:v>5 / 6.1</x:v>
      </x:c>
      <x:c r="I6" s="41" t="str">
        <x:v>Measured proxy</x:v>
      </x:c>
      <x:c r="J6" s="41" t="str">
        <x:v>100 runs; not a smartphone</x:v>
      </x:c>
    </x:row>
    <x:row r="7">
      <x:c r="A7" s="41" t="str">
        <x:v>[modeled-ARM]</x:v>
      </x:c>
      <x:c r="B7" s="41" t="str">
        <x:v>Cortex-A78</x:v>
      </x:c>
      <x:c r="C7" s="41" t="str">
        <x:v>ptq_int8</x:v>
      </x:c>
      <x:c r="D7" s="42" t="n">
        <x:v>0.8784</x:v>
      </x:c>
      <x:c r="E7" s="43" t="n">
        <x:v>355.31917948717944</x:v>
      </x:c>
      <x:c r="F7" s="44"/>
      <x:c r="G7" s="44"/>
      <x:c r="H7" s="41"/>
      <x:c r="I7" s="41" t="str">
        <x:v>Analytical estimate</x:v>
      </x:c>
      <x:c r="J7" s="41" t="str">
        <x:v>Roofline model</x:v>
      </x:c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</x:row>
    <x:row r="10">
      <x:c r="A10" s="55" t="str">
        <x:v>Platform</x:v>
      </x:c>
      <x:c r="B10" s="55" t="str">
        <x:v>Execution context</x:v>
      </x:c>
      <x:c r="C10" s="55" t="str">
        <x:v>Model</x:v>
      </x:c>
      <x:c r="D10" s="55" t="str">
        <x:v>Accuracy</x:v>
      </x:c>
      <x:c r="E10" s="55" t="str">
        <x:v>Estimated latency (ms)</x:v>
      </x:c>
      <x:c r="F10" s="55" t="str">
        <x:v>Estimated memory (MiB)</x:v>
      </x:c>
      <x:c r="G10" s="55" t="str">
        <x:v>Estimated energy (mJ)</x:v>
      </x:c>
      <x:c r="H10" s="55" t="str">
        <x:v>Speedup vs baseline</x:v>
      </x:c>
      <x:c r="I10" s="55" t="str">
        <x:v>Fits workspace</x:v>
      </x:c>
      <x:c r="J10" s="55" t="str">
        <x:v>Evidence status</x:v>
      </x:c>
    </x:row>
    <x:row r="11">
      <x:c r="A11" s="41" t="str">
        <x:v>x86_desktop</x:v>
      </x:c>
      <x:c r="B11" s="41" t="str">
        <x:v>[native-x86]</x:v>
      </x:c>
      <x:c r="C11" s="41" t="str">
        <x:v>baseline</x:v>
      </x:c>
      <x:c r="D11" s="42" t="n">
        <x:v>0.9370999932289124</x:v>
      </x:c>
      <x:c r="E11" s="43" t="n">
        <x:v>8.565359494736843</x:v>
      </x:c>
      <x:c r="F11" s="43" t="n">
        <x:v>9.810829162597656</x:v>
      </x:c>
      <x:c r="G11" s="43" t="n">
        <x:v>132.40423024105263</x:v>
      </x:c>
      <x:c r="H11" s="46" t="n">
        <x:v>1</x:v>
      </x:c>
      <x:c r="I11" s="41" t="str">
        <x:v>Yes</x:v>
      </x:c>
      <x:c r="J11" s="41" t="str">
        <x:v>Analytical platform model; host measurements held separately</x:v>
      </x:c>
    </x:row>
    <x:row r="12">
      <x:c r="A12" s="41" t="str">
        <x:v>x86_desktop</x:v>
      </x:c>
      <x:c r="B12" s="41" t="str">
        <x:v>[native-x86]</x:v>
      </x:c>
      <x:c r="C12" s="41" t="str">
        <x:v>latency_optimized</x:v>
      </x:c>
      <x:c r="D12" s="42" t="n">
        <x:v>0.8934</x:v>
      </x:c>
      <x:c r="E12" s="43" t="n">
        <x:v>1.5265734736842105</x:v>
      </x:c>
      <x:c r="F12" s="43" t="n">
        <x:v>5.145606994628906</x:v>
      </x:c>
      <x:c r="G12" s="43" t="n">
        <x:v>23.874606805263163</x:v>
      </x:c>
      <x:c r="H12" s="46" t="n">
        <x:v>5.610839990600208</x:v>
      </x:c>
      <x:c r="I12" s="41" t="str">
        <x:v>Yes</x:v>
      </x:c>
      <x:c r="J12" s="41" t="str">
        <x:v>Analytical platform model; host measurements held separately</x:v>
      </x:c>
    </x:row>
    <x:row r="13">
      <x:c r="A13" s="41" t="str">
        <x:v>x86_desktop</x:v>
      </x:c>
      <x:c r="B13" s="41" t="str">
        <x:v>[native-x86]</x:v>
      </x:c>
      <x:c r="C13" s="41" t="str">
        <x:v>memory_optimized</x:v>
      </x:c>
      <x:c r="D13" s="42" t="n">
        <x:v>0.8443</x:v>
      </x:c>
      <x:c r="E13" s="43" t="n">
        <x:v>1.5265734736842105</x:v>
      </x:c>
      <x:c r="F13" s="43" t="n">
        <x:v>5.145606994628906</x:v>
      </x:c>
      <x:c r="G13" s="43" t="n">
        <x:v>23.874606805263163</x:v>
      </x:c>
      <x:c r="H13" s="46" t="n">
        <x:v>5.610839990600208</x:v>
      </x:c>
      <x:c r="I13" s="41" t="str">
        <x:v>Yes</x:v>
      </x:c>
      <x:c r="J13" s="41" t="str">
        <x:v>Analytical platform model; host measurements held separately</x:v>
      </x:c>
    </x:row>
    <x:row r="14">
      <x:c r="A14" s="41" t="str">
        <x:v>x86_desktop</x:v>
      </x:c>
      <x:c r="B14" s="41" t="str">
        <x:v>[native-x86]</x:v>
      </x:c>
      <x:c r="C14" s="41" t="str">
        <x:v>energy_optimized</x:v>
      </x:c>
      <x:c r="D14" s="42" t="n">
        <x:v>0.8746</x:v>
      </x:c>
      <x:c r="E14" s="43" t="n">
        <x:v>1.5266282105263158</x:v>
      </x:c>
      <x:c r="F14" s="43" t="n">
        <x:v>5.1468658447265625</x:v>
      </x:c>
      <x:c r="G14" s="43" t="n">
        <x:v>23.875566157894735</x:v>
      </x:c>
      <x:c r="H14" s="46" t="n">
        <x:v>5.610638815447983</x:v>
      </x:c>
      <x:c r="I14" s="41" t="str">
        <x:v>Yes</x:v>
      </x:c>
      <x:c r="J14" s="41" t="str">
        <x:v>Analytical platform model; host measurements held separately</x:v>
      </x:c>
    </x:row>
    <x:row r="15">
      <x:c r="A15" s="41" t="str">
        <x:v>x86_desktop</x:v>
      </x:c>
      <x:c r="B15" s="41" t="str">
        <x:v>[native-x86]</x:v>
      </x:c>
      <x:c r="C15" s="41" t="str">
        <x:v>ptq_int8</x:v>
      </x:c>
      <x:c r="D15" s="42" t="n">
        <x:v>0.8784</x:v>
      </x:c>
      <x:c r="E15" s="43" t="n">
        <x:v>1.5265734736842105</x:v>
      </x:c>
      <x:c r="F15" s="43" t="n">
        <x:v>1.5373306274414062</x:v>
      </x:c>
      <x:c r="G15" s="43" t="n">
        <x:v>23.53408712526316</x:v>
      </x:c>
      <x:c r="H15" s="46" t="n">
        <x:v>5.610839990600208</x:v>
      </x:c>
      <x:c r="I15" s="41" t="str">
        <x:v>Yes</x:v>
      </x:c>
      <x:c r="J15" s="41" t="str">
        <x:v>Analytical platform model; host measurements held separately</x:v>
      </x:c>
    </x:row>
    <x:row r="16">
      <x:c r="A16" s="41" t="str">
        <x:v>x86_desktop</x:v>
      </x:c>
      <x:c r="B16" s="41" t="str">
        <x:v>[native-x86]</x:v>
      </x:c>
      <x:c r="C16" s="41" t="str">
        <x:v>qat_int8</x:v>
      </x:c>
      <x:c r="D16" s="42" t="n">
        <x:v>0.8449</x:v>
      </x:c>
      <x:c r="E16" s="43" t="n">
        <x:v>1.5265734736842105</x:v>
      </x:c>
      <x:c r="F16" s="43" t="n">
        <x:v>1.5373306274414062</x:v>
      </x:c>
      <x:c r="G16" s="43" t="n">
        <x:v>23.53408712526316</x:v>
      </x:c>
      <x:c r="H16" s="46" t="n">
        <x:v>5.610839990600208</x:v>
      </x:c>
      <x:c r="I16" s="41" t="str">
        <x:v>Yes</x:v>
      </x:c>
      <x:c r="J16" s="41" t="str">
        <x:v>Analytical platform model; host measurements held separately</x:v>
      </x:c>
    </x:row>
    <x:row r="17">
      <x:c r="A17" s="41" t="str">
        <x:v>x86_desktop</x:v>
      </x:c>
      <x:c r="B17" s="41" t="str">
        <x:v>[native-x86]</x:v>
      </x:c>
      <x:c r="C17" s="41" t="str">
        <x:v>mixed_precision</x:v>
      </x:c>
      <x:c r="D17" s="42" t="n">
        <x:v>0.8926</x:v>
      </x:c>
      <x:c r="E17" s="43" t="n">
        <x:v>1.5265734736842105</x:v>
      </x:c>
      <x:c r="F17" s="43" t="n">
        <x:v>3.771556854248047</x:v>
      </x:c>
      <x:c r="G17" s="43" t="n">
        <x:v>23.744935165263158</x:v>
      </x:c>
      <x:c r="H17" s="46" t="n">
        <x:v>5.610839990600208</x:v>
      </x:c>
      <x:c r="I17" s="41" t="str">
        <x:v>Yes</x:v>
      </x:c>
      <x:c r="J17" s="41" t="str">
        <x:v>Analytical platform model; host measurements held separately</x:v>
      </x:c>
    </x:row>
    <x:row r="18">
      <x:c r="A18" s="41" t="str">
        <x:v>x86_desktop</x:v>
      </x:c>
      <x:c r="B18" s="41" t="str">
        <x:v>[native-x86]</x:v>
      </x:c>
      <x:c r="C18" s="41" t="str">
        <x:v>dynamic_range</x:v>
      </x:c>
      <x:c r="D18" s="42" t="n">
        <x:v>0.8861</x:v>
      </x:c>
      <x:c r="E18" s="43" t="n">
        <x:v>1.5265734736842105</x:v>
      </x:c>
      <x:c r="F18" s="43" t="n">
        <x:v>3.2411956787109375</x:v>
      </x:c>
      <x:c r="G18" s="43" t="n">
        <x:v>23.694884005263162</x:v>
      </x:c>
      <x:c r="H18" s="46" t="n">
        <x:v>5.610839990600208</x:v>
      </x:c>
      <x:c r="I18" s="41" t="str">
        <x:v>Yes</x:v>
      </x:c>
      <x:c r="J18" s="41" t="str">
        <x:v>Analytical platform model; host measurements held separately</x:v>
      </x:c>
    </x:row>
    <x:row r="19">
      <x:c r="A19" s="41" t="str">
        <x:v>arm_cortex_a78</x:v>
      </x:c>
      <x:c r="B19" s="41" t="str">
        <x:v>[modeled-ARM]</x:v>
      </x:c>
      <x:c r="C19" s="41" t="str">
        <x:v>baseline</x:v>
      </x:c>
      <x:c r="D19" s="42" t="n">
        <x:v>0.9370999932289124</x:v>
      </x:c>
      <x:c r="E19" s="43" t="n">
        <x:v>75.94929549999999</x:v>
      </x:c>
      <x:c r="F19" s="43" t="n">
        <x:v>9.810829162597656</x:v>
      </x:c>
      <x:c r="G19" s="43" t="n">
        <x:v>101.98480205999999</x:v>
      </x:c>
      <x:c r="H19" s="46" t="n">
        <x:v>1</x:v>
      </x:c>
      <x:c r="I19" s="41" t="str">
        <x:v>Yes</x:v>
      </x:c>
      <x:c r="J19" s="41" t="str">
        <x:v>Analytical estimate</x:v>
      </x:c>
    </x:row>
    <x:row r="20">
      <x:c r="A20" s="41" t="str">
        <x:v>arm_cortex_a78</x:v>
      </x:c>
      <x:c r="B20" s="41" t="str">
        <x:v>[modeled-ARM]</x:v>
      </x:c>
      <x:c r="C20" s="41" t="str">
        <x:v>latency_optimized</x:v>
      </x:c>
      <x:c r="D20" s="42" t="n">
        <x:v>0.8934</x:v>
      </x:c>
      <x:c r="E20" s="43" t="n">
        <x:v>13.2601075</x:v>
      </x:c>
      <x:c r="F20" s="43" t="n">
        <x:v>5.145606994628906</x:v>
      </x:c>
      <x:c r="G20" s="43" t="n">
        <x:v>18.3545427</x:v>
      </x:c>
      <x:c r="H20" s="46" t="n">
        <x:v>5.727653075210739</x:v>
      </x:c>
      <x:c r="I20" s="41" t="str">
        <x:v>Yes</x:v>
      </x:c>
      <x:c r="J20" s="41" t="str">
        <x:v>Analytical estimate</x:v>
      </x:c>
    </x:row>
    <x:row r="21">
      <x:c r="A21" s="41" t="str">
        <x:v>arm_cortex_a78</x:v>
      </x:c>
      <x:c r="B21" s="41" t="str">
        <x:v>[modeled-ARM]</x:v>
      </x:c>
      <x:c r="C21" s="41" t="str">
        <x:v>memory_optimized</x:v>
      </x:c>
      <x:c r="D21" s="42" t="n">
        <x:v>0.8443</x:v>
      </x:c>
      <x:c r="E21" s="43" t="n">
        <x:v>13.2601075</x:v>
      </x:c>
      <x:c r="F21" s="43" t="n">
        <x:v>5.145606994628906</x:v>
      </x:c>
      <x:c r="G21" s="43" t="n">
        <x:v>18.3545427</x:v>
      </x:c>
      <x:c r="H21" s="46" t="n">
        <x:v>5.727653075210739</x:v>
      </x:c>
      <x:c r="I21" s="41" t="str">
        <x:v>Yes</x:v>
      </x:c>
      <x:c r="J21" s="41" t="str">
        <x:v>Analytical estimate</x:v>
      </x:c>
    </x:row>
    <x:row r="22">
      <x:c r="A22" s="41" t="str">
        <x:v>arm_cortex_a78</x:v>
      </x:c>
      <x:c r="B22" s="41" t="str">
        <x:v>[modeled-ARM]</x:v>
      </x:c>
      <x:c r="C22" s="41" t="str">
        <x:v>energy_optimized</x:v>
      </x:c>
      <x:c r="D22" s="42" t="n">
        <x:v>0.8746</x:v>
      </x:c>
      <x:c r="E22" s="43" t="n">
        <x:v>13.260595</x:v>
      </x:c>
      <x:c r="F22" s="43" t="n">
        <x:v>5.1468658447265625</x:v>
      </x:c>
      <x:c r="G22" s="43" t="n">
        <x:v>18.3554238</x:v>
      </x:c>
      <x:c r="H22" s="46" t="n">
        <x:v>5.727442509178509</x:v>
      </x:c>
      <x:c r="I22" s="41" t="str">
        <x:v>Yes</x:v>
      </x:c>
      <x:c r="J22" s="41" t="str">
        <x:v>Analytical estimate</x:v>
      </x:c>
    </x:row>
    <x:row r="23">
      <x:c r="A23" s="41" t="str">
        <x:v>arm_cortex_a78</x:v>
      </x:c>
      <x:c r="B23" s="41" t="str">
        <x:v>[modeled-ARM]</x:v>
      </x:c>
      <x:c r="C23" s="41" t="str">
        <x:v>ptq_int8</x:v>
      </x:c>
      <x:c r="D23" s="42" t="n">
        <x:v>0.8784</x:v>
      </x:c>
      <x:c r="E23" s="43" t="n">
        <x:v>13.2601075</x:v>
      </x:c>
      <x:c r="F23" s="43" t="n">
        <x:v>1.5373306274414062</x:v>
      </x:c>
      <x:c r="G23" s="43" t="n">
        <x:v>17.67350334</x:v>
      </x:c>
      <x:c r="H23" s="46" t="n">
        <x:v>5.727653075210739</x:v>
      </x:c>
      <x:c r="I23" s="41" t="str">
        <x:v>Yes</x:v>
      </x:c>
      <x:c r="J23" s="41" t="str">
        <x:v>Analytical estimate</x:v>
      </x:c>
    </x:row>
    <x:row r="24">
      <x:c r="A24" s="41" t="str">
        <x:v>arm_cortex_a78</x:v>
      </x:c>
      <x:c r="B24" s="41" t="str">
        <x:v>[modeled-ARM]</x:v>
      </x:c>
      <x:c r="C24" s="41" t="str">
        <x:v>qat_int8</x:v>
      </x:c>
      <x:c r="D24" s="42" t="n">
        <x:v>0.8449</x:v>
      </x:c>
      <x:c r="E24" s="43" t="n">
        <x:v>13.2601075</x:v>
      </x:c>
      <x:c r="F24" s="43" t="n">
        <x:v>1.5373306274414062</x:v>
      </x:c>
      <x:c r="G24" s="43" t="n">
        <x:v>17.67350334</x:v>
      </x:c>
      <x:c r="H24" s="46" t="n">
        <x:v>5.727653075210739</x:v>
      </x:c>
      <x:c r="I24" s="41" t="str">
        <x:v>Yes</x:v>
      </x:c>
      <x:c r="J24" s="41" t="str">
        <x:v>Analytical estimate</x:v>
      </x:c>
    </x:row>
    <x:row r="25">
      <x:c r="A25" s="41" t="str">
        <x:v>arm_cortex_a78</x:v>
      </x:c>
      <x:c r="B25" s="41" t="str">
        <x:v>[modeled-ARM]</x:v>
      </x:c>
      <x:c r="C25" s="41" t="str">
        <x:v>mixed_precision</x:v>
      </x:c>
      <x:c r="D25" s="42" t="n">
        <x:v>0.8926</x:v>
      </x:c>
      <x:c r="E25" s="43" t="n">
        <x:v>13.2601075</x:v>
      </x:c>
      <x:c r="F25" s="43" t="n">
        <x:v>3.771556854248047</x:v>
      </x:c>
      <x:c r="G25" s="43" t="n">
        <x:v>18.09519942</x:v>
      </x:c>
      <x:c r="H25" s="46" t="n">
        <x:v>5.727653075210739</x:v>
      </x:c>
      <x:c r="I25" s="41" t="str">
        <x:v>Yes</x:v>
      </x:c>
      <x:c r="J25" s="41" t="str">
        <x:v>Analytical estimate</x:v>
      </x:c>
    </x:row>
    <x:row r="26">
      <x:c r="A26" s="41" t="str">
        <x:v>arm_cortex_a78</x:v>
      </x:c>
      <x:c r="B26" s="41" t="str">
        <x:v>[modeled-ARM]</x:v>
      </x:c>
      <x:c r="C26" s="41" t="str">
        <x:v>dynamic_range</x:v>
      </x:c>
      <x:c r="D26" s="42" t="n">
        <x:v>0.8861</x:v>
      </x:c>
      <x:c r="E26" s="43" t="n">
        <x:v>13.2601075</x:v>
      </x:c>
      <x:c r="F26" s="43" t="n">
        <x:v>3.2411956787109375</x:v>
      </x:c>
      <x:c r="G26" s="43" t="n">
        <x:v>17.9950971</x:v>
      </x:c>
      <x:c r="H26" s="46" t="n">
        <x:v>5.727653075210739</x:v>
      </x:c>
      <x:c r="I26" s="41" t="str">
        <x:v>Yes</x:v>
      </x:c>
      <x:c r="J26" s="41" t="str">
        <x:v>Analytical estimate</x:v>
      </x:c>
    </x:row>
    <x:row r="27">
      <x:c r="A27" s="41" t="str">
        <x:v>arm_cortex_m7</x:v>
      </x:c>
      <x:c r="B27" s="41" t="str">
        <x:v>[modeled-Cortex-M]</x:v>
      </x:c>
      <x:c r="C27" s="41" t="str">
        <x:v>baseline</x:v>
      </x:c>
      <x:c r="D27" s="42" t="n">
        <x:v>0.9370999932289124</x:v>
      </x:c>
      <x:c r="E27" s="43" t="n">
        <x:v>2069.8952615384615</x:v>
      </x:c>
      <x:c r="F27" s="43" t="n">
        <x:v>9.810829162597656</x:v>
      </x:c>
      <x:c r="G27" s="43" t="n">
        <x:v>148.72908491692309</x:v>
      </x:c>
      <x:c r="H27" s="46" t="n">
        <x:v>1</x:v>
      </x:c>
      <x:c r="I27" s="41" t="str">
        <x:v>No</x:v>
      </x:c>
      <x:c r="J27" s="41" t="str">
        <x:v>Analytical estimate</x:v>
      </x:c>
    </x:row>
    <x:row r="28">
      <x:c r="A28" s="41" t="str">
        <x:v>arm_cortex_m7</x:v>
      </x:c>
      <x:c r="B28" s="41" t="str">
        <x:v>[modeled-Cortex-M]</x:v>
      </x:c>
      <x:c r="C28" s="41" t="str">
        <x:v>latency_optimized</x:v>
      </x:c>
      <x:c r="D28" s="42" t="n">
        <x:v>0.8934</x:v>
      </x:c>
      <x:c r="E28" s="43" t="n">
        <x:v>355.31917948717944</x:v>
      </x:c>
      <x:c r="F28" s="43" t="n">
        <x:v>5.145606994628906</x:v>
      </x:c>
      <x:c r="G28" s="43" t="n">
        <x:v>28.50681457435897</x:v>
      </x:c>
      <x:c r="H28" s="46" t="n">
        <x:v>5.825453229194871</x:v>
      </x:c>
      <x:c r="I28" s="41" t="str">
        <x:v>No</x:v>
      </x:c>
      <x:c r="J28" s="41" t="str">
        <x:v>Analytical estimate</x:v>
      </x:c>
    </x:row>
    <x:row r="29">
      <x:c r="A29" s="41" t="str">
        <x:v>arm_cortex_m7</x:v>
      </x:c>
      <x:c r="B29" s="41" t="str">
        <x:v>[modeled-Cortex-M]</x:v>
      </x:c>
      <x:c r="C29" s="41" t="str">
        <x:v>memory_optimized</x:v>
      </x:c>
      <x:c r="D29" s="42" t="n">
        <x:v>0.8443</x:v>
      </x:c>
      <x:c r="E29" s="43" t="n">
        <x:v>355.31917948717944</x:v>
      </x:c>
      <x:c r="F29" s="43" t="n">
        <x:v>5.145606994628906</x:v>
      </x:c>
      <x:c r="G29" s="43" t="n">
        <x:v>28.50681457435897</x:v>
      </x:c>
      <x:c r="H29" s="46" t="n">
        <x:v>5.825453229194871</x:v>
      </x:c>
      <x:c r="I29" s="41" t="str">
        <x:v>No</x:v>
      </x:c>
      <x:c r="J29" s="41" t="str">
        <x:v>Analytical estimate</x:v>
      </x:c>
    </x:row>
    <x:row r="30">
      <x:c r="A30" s="41" t="str">
        <x:v>arm_cortex_m7</x:v>
      </x:c>
      <x:c r="B30" s="41" t="str">
        <x:v>[modeled-Cortex-M]</x:v>
      </x:c>
      <x:c r="C30" s="41" t="str">
        <x:v>energy_optimized</x:v>
      </x:c>
      <x:c r="D30" s="42" t="n">
        <x:v>0.8746</x:v>
      </x:c>
      <x:c r="E30" s="43" t="n">
        <x:v>355.3325128205128</x:v>
      </x:c>
      <x:c r="F30" s="43" t="n">
        <x:v>5.1468658447265625</x:v>
      </x:c>
      <x:c r="G30" s="43" t="n">
        <x:v>28.50890324102564</x:v>
      </x:c>
      <x:c r="H30" s="46" t="n">
        <x:v>5.825234637574571</x:v>
      </x:c>
      <x:c r="I30" s="41" t="str">
        <x:v>No</x:v>
      </x:c>
      <x:c r="J30" s="41" t="str">
        <x:v>Analytical estimate</x:v>
      </x:c>
    </x:row>
    <x:row r="31">
      <x:c r="A31" s="41" t="str">
        <x:v>arm_cortex_m7</x:v>
      </x:c>
      <x:c r="B31" s="41" t="str">
        <x:v>[QEMU-CM]</x:v>
      </x:c>
      <x:c r="C31" s="41" t="str">
        <x:v>ptq_int8</x:v>
      </x:c>
      <x:c r="D31" s="42" t="n">
        <x:v>0.8784</x:v>
      </x:c>
      <x:c r="E31" s="43" t="n">
        <x:v>355.31917948717944</x:v>
      </x:c>
      <x:c r="F31" s="43" t="n">
        <x:v>1.5373306274414062</x:v>
      </x:c>
      <x:c r="G31" s="43" t="n">
        <x:v>25.10161777435897</x:v>
      </x:c>
      <x:c r="H31" s="46" t="n">
        <x:v>5.825453229194871</x:v>
      </x:c>
      <x:c r="I31" s="41" t="str">
        <x:v>No</x:v>
      </x:c>
      <x:c r="J31" s="41" t="str">
        <x:v>QEMU measured latency; analytical memory/energy</x:v>
      </x:c>
    </x:row>
    <x:row r="32">
      <x:c r="A32" s="41" t="str">
        <x:v>arm_cortex_m7</x:v>
      </x:c>
      <x:c r="B32" s="41" t="str">
        <x:v>[modeled-Cortex-M]</x:v>
      </x:c>
      <x:c r="C32" s="41" t="str">
        <x:v>qat_int8</x:v>
      </x:c>
      <x:c r="D32" s="42" t="n">
        <x:v>0.8449</x:v>
      </x:c>
      <x:c r="E32" s="43" t="n">
        <x:v>355.31917948717944</x:v>
      </x:c>
      <x:c r="F32" s="43" t="n">
        <x:v>1.5373306274414062</x:v>
      </x:c>
      <x:c r="G32" s="43" t="n">
        <x:v>25.10161777435897</x:v>
      </x:c>
      <x:c r="H32" s="46" t="n">
        <x:v>5.825453229194871</x:v>
      </x:c>
      <x:c r="I32" s="41" t="str">
        <x:v>No</x:v>
      </x:c>
      <x:c r="J32" s="41" t="str">
        <x:v>Analytical estimate</x:v>
      </x:c>
    </x:row>
    <x:row r="33">
      <x:c r="A33" s="41" t="str">
        <x:v>arm_cortex_m7</x:v>
      </x:c>
      <x:c r="B33" s="41" t="str">
        <x:v>[modeled-Cortex-M]</x:v>
      </x:c>
      <x:c r="C33" s="41" t="str">
        <x:v>mixed_precision</x:v>
      </x:c>
      <x:c r="D33" s="42" t="n">
        <x:v>0.8926</x:v>
      </x:c>
      <x:c r="E33" s="43" t="n">
        <x:v>355.31917948717944</x:v>
      </x:c>
      <x:c r="F33" s="43" t="n">
        <x:v>3.771556854248047</x:v>
      </x:c>
      <x:c r="G33" s="43" t="n">
        <x:v>27.21009817435897</x:v>
      </x:c>
      <x:c r="H33" s="46" t="n">
        <x:v>5.825453229194871</x:v>
      </x:c>
      <x:c r="I33" s="41" t="str">
        <x:v>No</x:v>
      </x:c>
      <x:c r="J33" s="41" t="str">
        <x:v>Analytical estimate</x:v>
      </x:c>
    </x:row>
    <x:row r="34">
      <x:c r="A34" s="41" t="str">
        <x:v>arm_cortex_m7</x:v>
      </x:c>
      <x:c r="B34" s="41" t="str">
        <x:v>[modeled-Cortex-M]</x:v>
      </x:c>
      <x:c r="C34" s="41" t="str">
        <x:v>dynamic_range</x:v>
      </x:c>
      <x:c r="D34" s="42" t="n">
        <x:v>0.8861</x:v>
      </x:c>
      <x:c r="E34" s="43" t="n">
        <x:v>355.31917948717944</x:v>
      </x:c>
      <x:c r="F34" s="43" t="n">
        <x:v>3.2411956787109375</x:v>
      </x:c>
      <x:c r="G34" s="43" t="n">
        <x:v>26.70958657435897</x:v>
      </x:c>
      <x:c r="H34" s="46" t="n">
        <x:v>5.825453229194871</x:v>
      </x:c>
      <x:c r="I34" s="41" t="str">
        <x:v>No</x:v>
      </x:c>
      <x:c r="J34" s="41" t="str">
        <x:v>Analytical estimate</x:v>
      </x:c>
    </x:row>
    <x:row r="35">
      <x:c r="A35" s="41" t="str">
        <x:v>webgpu_proxy</x:v>
      </x:c>
      <x:c r="B35" s="41" t="str">
        <x:v>[modeled-GPU]</x:v>
      </x:c>
      <x:c r="C35" s="41" t="str">
        <x:v>baseline</x:v>
      </x:c>
      <x:c r="D35" s="42" t="n">
        <x:v>0.9370999932289124</x:v>
      </x:c>
      <x:c r="E35" s="43" t="n">
        <x:v>4.249492955</x:v>
      </x:c>
      <x:c r="F35" s="43" t="n">
        <x:v>9.810829162597656</x:v>
      </x:c>
      <x:c r="G35" s="43" t="n">
        <x:v>35.658065368</x:v>
      </x:c>
      <x:c r="H35" s="46" t="n">
        <x:v>1</x:v>
      </x:c>
      <x:c r="I35" s="41" t="str">
        <x:v>Yes</x:v>
      </x:c>
      <x:c r="J35" s="41" t="str">
        <x:v>Analytical estimate</x:v>
      </x:c>
    </x:row>
    <x:row r="36">
      <x:c r="A36" s="41" t="str">
        <x:v>webgpu_proxy</x:v>
      </x:c>
      <x:c r="B36" s="41" t="str">
        <x:v>[WebGPU-proxy]</x:v>
      </x:c>
      <x:c r="C36" s="41" t="str">
        <x:v>latency_optimized</x:v>
      </x:c>
      <x:c r="D36" s="42" t="n">
        <x:v>0.8934</x:v>
      </x:c>
      <x:c r="E36" s="43" t="n">
        <x:v>3.622601075</x:v>
      </x:c>
      <x:c r="F36" s="43" t="n">
        <x:v>5.145606994628906</x:v>
      </x:c>
      <x:c r="G36" s="43" t="n">
        <x:v>29.41977052</x:v>
      </x:c>
      <x:c r="H36" s="46" t="n">
        <x:v>1.173050210890251</x:v>
      </x:c>
      <x:c r="I36" s="41" t="str">
        <x:v>Yes</x:v>
      </x:c>
      <x:c r="J36" s="41" t="str">
        <x:v>Measured proxy latency; analytical memory/energy</x:v>
      </x:c>
    </x:row>
    <x:row r="37">
      <x:c r="A37" s="41" t="str">
        <x:v>webgpu_proxy</x:v>
      </x:c>
      <x:c r="B37" s="41" t="str">
        <x:v>[modeled-GPU]</x:v>
      </x:c>
      <x:c r="C37" s="41" t="str">
        <x:v>memory_optimized</x:v>
      </x:c>
      <x:c r="D37" s="42" t="n">
        <x:v>0.8443</x:v>
      </x:c>
      <x:c r="E37" s="43" t="n">
        <x:v>3.622601075</x:v>
      </x:c>
      <x:c r="F37" s="43" t="n">
        <x:v>5.145606994628906</x:v>
      </x:c>
      <x:c r="G37" s="43" t="n">
        <x:v>29.41977052</x:v>
      </x:c>
      <x:c r="H37" s="46" t="n">
        <x:v>1.173050210890251</x:v>
      </x:c>
      <x:c r="I37" s="41" t="str">
        <x:v>Yes</x:v>
      </x:c>
      <x:c r="J37" s="41" t="str">
        <x:v>Analytical estimate</x:v>
      </x:c>
    </x:row>
    <x:row r="38">
      <x:c r="A38" s="41" t="str">
        <x:v>webgpu_proxy</x:v>
      </x:c>
      <x:c r="B38" s="41" t="str">
        <x:v>[modeled-GPU]</x:v>
      </x:c>
      <x:c r="C38" s="41" t="str">
        <x:v>energy_optimized</x:v>
      </x:c>
      <x:c r="D38" s="42" t="n">
        <x:v>0.8746</x:v>
      </x:c>
      <x:c r="E38" s="43" t="n">
        <x:v>3.62260595</x:v>
      </x:c>
      <x:c r="F38" s="43" t="n">
        <x:v>5.1468658447265625</x:v>
      </x:c>
      <x:c r="G38" s="43" t="n">
        <x:v>29.41987672</x:v>
      </x:c>
      <x:c r="H38" s="46" t="n">
        <x:v>1.1730486322974212</x:v>
      </x:c>
      <x:c r="I38" s="41" t="str">
        <x:v>Yes</x:v>
      </x:c>
      <x:c r="J38" s="41" t="str">
        <x:v>Analytical estimate</x:v>
      </x:c>
    </x:row>
    <x:row r="39">
      <x:c r="A39" s="41" t="str">
        <x:v>webgpu_proxy</x:v>
      </x:c>
      <x:c r="B39" s="41" t="str">
        <x:v>[modeled-GPU]</x:v>
      </x:c>
      <x:c r="C39" s="41" t="str">
        <x:v>ptq_int8</x:v>
      </x:c>
      <x:c r="D39" s="42" t="n">
        <x:v>0.8784</x:v>
      </x:c>
      <x:c r="E39" s="43" t="n">
        <x:v>3.622601075</x:v>
      </x:c>
      <x:c r="F39" s="43" t="n">
        <x:v>1.5373306274414062</x:v>
      </x:c>
      <x:c r="G39" s="43" t="n">
        <x:v>29.249510679999997</x:v>
      </x:c>
      <x:c r="H39" s="46" t="n">
        <x:v>1.173050210890251</x:v>
      </x:c>
      <x:c r="I39" s="41" t="str">
        <x:v>Yes</x:v>
      </x:c>
      <x:c r="J39" s="41" t="str">
        <x:v>Analytical estimate</x:v>
      </x:c>
    </x:row>
    <x:row r="40">
      <x:c r="A40" s="41" t="str">
        <x:v>webgpu_proxy</x:v>
      </x:c>
      <x:c r="B40" s="41" t="str">
        <x:v>[modeled-GPU]</x:v>
      </x:c>
      <x:c r="C40" s="41" t="str">
        <x:v>qat_int8</x:v>
      </x:c>
      <x:c r="D40" s="42" t="n">
        <x:v>0.8449</x:v>
      </x:c>
      <x:c r="E40" s="43" t="n">
        <x:v>3.622601075</x:v>
      </x:c>
      <x:c r="F40" s="43" t="n">
        <x:v>1.5373306274414062</x:v>
      </x:c>
      <x:c r="G40" s="43" t="n">
        <x:v>29.249510679999997</x:v>
      </x:c>
      <x:c r="H40" s="46" t="n">
        <x:v>1.173050210890251</x:v>
      </x:c>
      <x:c r="I40" s="41" t="str">
        <x:v>Yes</x:v>
      </x:c>
      <x:c r="J40" s="41" t="str">
        <x:v>Analytical estimate</x:v>
      </x:c>
    </x:row>
    <x:row r="41">
      <x:c r="A41" s="41" t="str">
        <x:v>webgpu_proxy</x:v>
      </x:c>
      <x:c r="B41" s="41" t="str">
        <x:v>[modeled-GPU]</x:v>
      </x:c>
      <x:c r="C41" s="41" t="str">
        <x:v>mixed_precision</x:v>
      </x:c>
      <x:c r="D41" s="42" t="n">
        <x:v>0.8926</x:v>
      </x:c>
      <x:c r="E41" s="43" t="n">
        <x:v>3.622601075</x:v>
      </x:c>
      <x:c r="F41" s="43" t="n">
        <x:v>3.771556854248047</x:v>
      </x:c>
      <x:c r="G41" s="43" t="n">
        <x:v>29.354934699999998</x:v>
      </x:c>
      <x:c r="H41" s="46" t="n">
        <x:v>1.173050210890251</x:v>
      </x:c>
      <x:c r="I41" s="41" t="str">
        <x:v>Yes</x:v>
      </x:c>
      <x:c r="J41" s="41" t="str">
        <x:v>Analytical estimate</x:v>
      </x:c>
    </x:row>
    <x:row r="42">
      <x:c r="A42" s="41" t="str">
        <x:v>webgpu_proxy</x:v>
      </x:c>
      <x:c r="B42" s="41" t="str">
        <x:v>[modeled-GPU]</x:v>
      </x:c>
      <x:c r="C42" s="41" t="str">
        <x:v>dynamic_range</x:v>
      </x:c>
      <x:c r="D42" s="42" t="n">
        <x:v>0.8861</x:v>
      </x:c>
      <x:c r="E42" s="43" t="n">
        <x:v>3.622601075</x:v>
      </x:c>
      <x:c r="F42" s="43" t="n">
        <x:v>3.2411956787109375</x:v>
      </x:c>
      <x:c r="G42" s="43" t="n">
        <x:v>29.329909119999996</x:v>
      </x:c>
      <x:c r="H42" s="46" t="n">
        <x:v>1.173050210890251</x:v>
      </x:c>
      <x:c r="I42" s="41" t="str">
        <x:v>Yes</x:v>
      </x:c>
      <x:c r="J42" s="41" t="str">
        <x:v>Analytical estimate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8" t="str">
        <x:v>Pareto frontiers and batch scaling</x:v>
      </x:c>
      <x:c r="B1" s="48" t="str">
        <x:v>Pareto frontiers and batch scaling</x:v>
      </x:c>
      <x:c r="C1" s="48" t="str">
        <x:v>Pareto frontiers and batch scaling</x:v>
      </x:c>
      <x:c r="D1" s="48" t="str">
        <x:v>Pareto frontiers and batch scaling</x:v>
      </x:c>
      <x:c r="E1" s="48" t="str">
        <x:v>Pareto frontiers and batch scaling</x:v>
      </x:c>
      <x:c r="F1" s="48" t="str">
        <x:v>Pareto frontiers and batch scaling</x:v>
      </x:c>
      <x:c r="G1" s="48" t="str">
        <x:v>Pareto frontiers and batch scaling</x:v>
      </x:c>
      <x:c r="H1" s="48" t="str">
        <x:v>Pareto frontiers and batch scaling</x:v>
      </x:c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55" t="str">
        <x:v>Objective set</x:v>
      </x:c>
      <x:c r="B3" s="55" t="str">
        <x:v>Non-dominated models</x:v>
      </x:c>
      <x:c r="C3" s="34"/>
      <x:c r="D3" s="34"/>
      <x:c r="E3" s="34"/>
      <x:c r="F3" s="34" t="str">
        <x:v>Latency (ms)</x:v>
      </x:c>
      <x:c r="G3" s="34" t="str">
        <x:v>Accuracy</x:v>
      </x:c>
      <x:c r="H3" s="34"/>
    </x:row>
    <x:row r="4" ht="34" customHeight="1">
      <x:c r="A4" s="56" t="str">
        <x:v>Accuracy, latency, size</x:v>
      </x:c>
      <x:c r="B4" s="56" t="str">
        <x:v>baseline, latency_optimized, ptq_int8, qat_int8, mixed_precision, dynamic_range</x:v>
      </x:c>
      <x:c r="C4" s="57"/>
      <x:c r="D4" s="57"/>
      <x:c r="E4" s="34"/>
      <x:c r="F4" s="34" t="n">
        <x:v>2.4971620600081224</x:v>
      </x:c>
      <x:c r="G4" s="34" t="n">
        <x:v>0.9370999932289124</x:v>
      </x:c>
      <x:c r="H4" s="34"/>
    </x:row>
    <x:row r="5" ht="34" customHeight="1">
      <x:c r="A5" s="56" t="str">
        <x:v>Accuracy and latency</x:v>
      </x:c>
      <x:c r="B5" s="56" t="str">
        <x:v>baseline, latency_optimized, mixed_precision</x:v>
      </x:c>
      <x:c r="C5" s="57"/>
      <x:c r="D5" s="57"/>
      <x:c r="E5" s="34"/>
      <x:c r="F5" s="34" t="n">
        <x:v>2.4561327903938945</x:v>
      </x:c>
      <x:c r="G5" s="34" t="n">
        <x:v>0.8934</x:v>
      </x:c>
      <x:c r="H5" s="34"/>
    </x:row>
    <x:row r="6" ht="34" customHeight="1">
      <x:c r="A6" s="56" t="str">
        <x:v>Accuracy and model size</x:v>
      </x:c>
      <x:c r="B6" s="56" t="str">
        <x:v>baseline, latency_optimized, mixed_precision, dynamic_range</x:v>
      </x:c>
      <x:c r="C6" s="57"/>
      <x:c r="D6" s="57"/>
      <x:c r="E6" s="34"/>
      <x:c r="F6" s="34" t="n">
        <x:v>2.450955699532642</x:v>
      </x:c>
      <x:c r="G6" s="34" t="n">
        <x:v>0.8443</x:v>
      </x:c>
      <x:c r="H6" s="34"/>
    </x:row>
    <x:row r="7" ht="34" customHeight="1">
      <x:c r="A7" s="56" t="str">
        <x:v>x86 accuracy, latency, energy, memory</x:v>
      </x:c>
      <x:c r="B7" s="56" t="str">
        <x:v>baseline, latency_optimized, ptq_int8, mixed_precision, dynamic_range</x:v>
      </x:c>
      <x:c r="C7" s="57"/>
      <x:c r="D7" s="57"/>
      <x:c r="E7" s="34"/>
      <x:c r="F7" s="34" t="n">
        <x:v>2.284400490098051</x:v>
      </x:c>
      <x:c r="G7" s="34" t="n">
        <x:v>0.8746</x:v>
      </x:c>
      <x:c r="H7" s="34"/>
    </x:row>
    <x:row r="8">
      <x:c r="A8" s="34"/>
      <x:c r="B8" s="34"/>
      <x:c r="C8" s="34"/>
      <x:c r="D8" s="34"/>
      <x:c r="E8" s="34"/>
      <x:c r="F8" s="34" t="n">
        <x:v>0.6629447799787158</x:v>
      </x:c>
      <x:c r="G8" s="34" t="n">
        <x:v>0.8784</x:v>
      </x:c>
      <x:c r="H8" s="34"/>
    </x:row>
    <x:row r="9">
      <x:c r="A9" s="34"/>
      <x:c r="B9" s="34"/>
      <x:c r="C9" s="34"/>
      <x:c r="D9" s="34"/>
      <x:c r="E9" s="34"/>
      <x:c r="F9" s="34" t="n">
        <x:v>0.6619670001236955</x:v>
      </x:c>
      <x:c r="G9" s="34" t="n">
        <x:v>0.8449</x:v>
      </x:c>
      <x:c r="H9" s="34"/>
    </x:row>
    <x:row r="10">
      <x:c r="A10" s="55" t="str">
        <x:v>Batch size</x:v>
      </x:c>
      <x:c r="B10" s="55" t="str">
        <x:v>Latency (ms)</x:v>
      </x:c>
      <x:c r="C10" s="55" t="str">
        <x:v>Throughput (samples/s)</x:v>
      </x:c>
      <x:c r="D10" s="55" t="str">
        <x:v>Latency per sample (ms)</x:v>
      </x:c>
      <x:c r="E10" s="34"/>
      <x:c r="F10" s="34" t="n">
        <x:v>0.5353844596538693</x:v>
      </x:c>
      <x:c r="G10" s="34" t="n">
        <x:v>0.8926</x:v>
      </x:c>
      <x:c r="H10" s="34"/>
    </x:row>
    <x:row r="11">
      <x:c r="A11" s="41" t="n">
        <x:v>1</x:v>
      </x:c>
      <x:c r="B11" s="43" t="n">
        <x:v>1.9064669977524318</x:v>
      </x:c>
      <x:c r="C11" s="44" t="n">
        <x:v>524.5304540697101</x:v>
      </x:c>
      <x:c r="D11" s="43" t="n">
        <x:f>B11/A11</x:f>
        <x:v>1.9064669977524318</x:v>
      </x:c>
      <x:c r="E11" s="34"/>
      <x:c r="F11" s="34" t="n">
        <x:v>0.9725343394529773</x:v>
      </x:c>
      <x:c r="G11" s="34" t="n">
        <x:v>0.8861</x:v>
      </x:c>
      <x:c r="H11" s="34"/>
    </x:row>
    <x:row r="12">
      <x:c r="A12" s="41" t="n">
        <x:v>8</x:v>
      </x:c>
      <x:c r="B12" s="43" t="n">
        <x:v>1.9574720063246787</x:v>
      </x:c>
      <x:c r="C12" s="44" t="n">
        <x:v>4086.9039118575624</x:v>
      </x:c>
      <x:c r="D12" s="43" t="n">
        <x:f>B12/A12</x:f>
        <x:v>0.24468400079058483</x:v>
      </x:c>
      <x:c r="E12" s="34"/>
      <x:c r="F12" s="34" t="str">
        <x:v>Batch size</x:v>
      </x:c>
      <x:c r="G12" s="34" t="str">
        <x:v>Throughput</x:v>
      </x:c>
      <x:c r="H12" s="34" t="str">
        <x:v>Latency</x:v>
      </x:c>
    </x:row>
    <x:row r="13">
      <x:c r="A13" s="41" t="n">
        <x:v>16</x:v>
      </x:c>
      <x:c r="B13" s="43" t="n">
        <x:v>2.840672997990623</x:v>
      </x:c>
      <x:c r="C13" s="44" t="n">
        <x:v>5632.468084611552</x:v>
      </x:c>
      <x:c r="D13" s="43" t="n">
        <x:f>B13/A13</x:f>
        <x:v>0.17754206237441394</x:v>
      </x:c>
      <x:c r="E13" s="34"/>
      <x:c r="F13" s="34" t="n">
        <x:v>1</x:v>
      </x:c>
      <x:c r="G13" s="34" t="n">
        <x:v>524.5304540697101</x:v>
      </x:c>
      <x:c r="H13" s="34" t="n">
        <x:v>1.9064669977524318</x:v>
      </x:c>
    </x:row>
    <x:row r="14">
      <x:c r="A14" s="41" t="n">
        <x:v>32</x:v>
      </x:c>
      <x:c r="B14" s="43" t="n">
        <x:v>3.362524999829475</x:v>
      </x:c>
      <x:c r="C14" s="44" t="n">
        <x:v>9516.657869197354</x:v>
      </x:c>
      <x:c r="D14" s="43" t="n">
        <x:f>B14/A14</x:f>
        <x:v>0.10507890624467109</x:v>
      </x:c>
      <x:c r="E14" s="34"/>
      <x:c r="F14" s="34" t="n">
        <x:v>8</x:v>
      </x:c>
      <x:c r="G14" s="34" t="n">
        <x:v>4086.9039118575624</x:v>
      </x:c>
      <x:c r="H14" s="34" t="n">
        <x:v>1.9574720063246787</x:v>
      </x:c>
    </x:row>
    <x:row r="15">
      <x:c r="A15" s="41" t="n">
        <x:v>64</x:v>
      </x:c>
      <x:c r="B15" s="43" t="n">
        <x:v>6.401702994480729</x:v>
      </x:c>
      <x:c r="C15" s="44" t="n">
        <x:v>9997.339778989752</x:v>
      </x:c>
      <x:c r="D15" s="43" t="n">
        <x:f>B15/A15</x:f>
        <x:v>0.10002660928876139</x:v>
      </x:c>
      <x:c r="E15" s="34"/>
      <x:c r="F15" s="34" t="n">
        <x:v>16</x:v>
      </x:c>
      <x:c r="G15" s="34" t="n">
        <x:v>5632.468084611552</x:v>
      </x:c>
      <x:c r="H15" s="34" t="n">
        <x:v>2.840672997990623</x:v>
      </x:c>
    </x:row>
    <x:row r="16">
      <x:c r="A16" s="34"/>
      <x:c r="B16" s="34"/>
      <x:c r="C16" s="34"/>
      <x:c r="D16" s="34"/>
      <x:c r="E16" s="34"/>
      <x:c r="F16" s="34" t="n">
        <x:v>32</x:v>
      </x:c>
      <x:c r="G16" s="34" t="n">
        <x:v>9516.657869197354</x:v>
      </x:c>
      <x:c r="H16" s="34" t="n">
        <x:v>3.362524999829475</x:v>
      </x:c>
    </x:row>
    <x:row r="17">
      <x:c r="A17" s="34"/>
      <x:c r="B17" s="34"/>
      <x:c r="C17" s="34"/>
      <x:c r="D17" s="34"/>
      <x:c r="E17" s="34"/>
      <x:c r="F17" s="34" t="n">
        <x:v>64</x:v>
      </x:c>
      <x:c r="G17" s="34" t="n">
        <x:v>9997.339778989752</x:v>
      </x:c>
      <x:c r="H17" s="34" t="n">
        <x:v>6.401702994480729</x:v>
      </x:c>
    </x:row>
  </x:sheetData>
  <x:mergeCells>
    <x:mergeCell ref="A1:H1"/>
    <x:mergeCell ref="B4:D4"/>
    <x:mergeCell ref="B5:D5"/>
    <x:mergeCell ref="B6:D6"/>
    <x:mergeCell ref="B7:D7"/>
  </x:mergeCells>
  <x:pageMargins left="0.7" right="0.7" top="0.75" bottom="0.75" header="0.3" footer="0.3"/>
  <x:drawing xmlns:r="http://schemas.openxmlformats.org/officeDocument/2006/relationships" r:id="R477f489645904b29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0" hidden="0" customWidth="1"/>
    <x:col min="5" max="5" width="15" hidden="0" customWidth="1"/>
    <x:col min="6" max="6" width="26" hidden="0" customWidth="1"/>
    <x:col min="7" max="7" width="18" hidden="0" customWidth="1"/>
    <x:col min="8" max="8" width="16" hidden="0" customWidth="1"/>
    <x:col min="9" max="9" width="22" hidden="0" customWidth="1"/>
    <x:col min="10" max="10" width="20" hidden="0" customWidth="1"/>
    <x:col min="11" max="11" width="16" hidden="0" customWidth="1"/>
    <x:col min="12" max="12" width="55" hidden="0" customWidth="1"/>
  </x:cols>
  <x:sheetData>
    <x:row r="1" ht="28" customHeight="1">
      <x:c r="A1" s="48" t="str">
        <x:v>Hardware utilization proxies</x:v>
      </x:c>
      <x:c r="B1" s="48" t="str">
        <x:v>Hardware utilization proxies</x:v>
      </x:c>
      <x:c r="C1" s="48" t="str">
        <x:v>Hardware utilization proxies</x:v>
      </x:c>
      <x:c r="D1" s="48" t="str">
        <x:v>Hardware utilization proxies</x:v>
      </x:c>
      <x:c r="E1" s="48" t="str">
        <x:v>Hardware utilization proxies</x:v>
      </x:c>
      <x:c r="F1" s="48" t="str">
        <x:v>Hardware utilization proxies</x:v>
      </x:c>
      <x:c r="G1" s="48" t="str">
        <x:v>Hardware utilization proxies</x:v>
      </x:c>
      <x:c r="H1" s="48" t="str">
        <x:v>Hardware utilization proxies</x:v>
      </x:c>
      <x:c r="I1" s="48" t="str">
        <x:v>Hardware utilization proxies</x:v>
      </x:c>
      <x:c r="J1" s="48" t="str">
        <x:v>Hardware utilization proxies</x:v>
      </x:c>
      <x:c r="K1" s="48" t="str">
        <x:v>Hardware utilization proxies</x:v>
      </x:c>
      <x:c r="L1" s="48" t="str">
        <x:v>Hardware utilization proxies</x:v>
      </x:c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>
      <x:c r="A3" s="55" t="str">
        <x:v>Platform</x:v>
      </x:c>
      <x:c r="B3" s="55" t="str">
        <x:v>Model</x:v>
      </x:c>
      <x:c r="C3" s="55" t="str">
        <x:v>Context</x:v>
      </x:c>
      <x:c r="D3" s="55" t="str">
        <x:v>Compute utilization</x:v>
      </x:c>
      <x:c r="E3" s="55" t="str">
        <x:v>Achieved GOPs</x:v>
      </x:c>
      <x:c r="F3" s="55" t="str">
        <x:v>Memory-bandwidth utilization</x:v>
      </x:c>
      <x:c r="G3" s="55" t="str">
        <x:v>Working set (MiB)</x:v>
      </x:c>
      <x:c r="H3" s="55" t="str">
        <x:v>Bottleneck</x:v>
      </x:c>
      <x:c r="I3" s="55" t="str">
        <x:v>Energy estimate (mJ)</x:v>
      </x:c>
      <x:c r="J3" s="55" t="str">
        <x:v>Energy (pJ/FLOP)</x:v>
      </x:c>
      <x:c r="K3" s="55" t="str">
        <x:v>Thermal derate</x:v>
      </x:c>
      <x:c r="L3" s="55" t="str">
        <x:v>Evidence</x:v>
      </x:c>
    </x:row>
    <x:row r="4">
      <x:c r="A4" s="41" t="str">
        <x:v>x86_desktop</x:v>
      </x:c>
      <x:c r="B4" s="41" t="str">
        <x:v>baseline</x:v>
      </x:c>
      <x:c r="C4" s="41" t="str">
        <x:v>[native-x86]</x:v>
      </x:c>
      <x:c r="D4" s="42" t="n">
        <x:v>0.9333632201791924</x:v>
      </x:c>
      <x:c r="E4" s="43" t="n">
        <x:v>70.00224151343943</x:v>
      </x:c>
      <x:c r="F4" s="42" t="n">
        <x:v>0.040034902626567316</x:v>
      </x:c>
      <x:c r="G4" s="43" t="n">
        <x:v>9.810829162597656</x:v>
      </x:c>
      <x:c r="H4" s="43" t="str">
        <x:v>compute</x:v>
      </x:c>
      <x:c r="I4" s="43" t="n">
        <x:v>132.40423024105263</x:v>
      </x:c>
      <x:c r="J4" s="46" t="n">
        <x:v>220.82300667031058</x:v>
      </x:c>
      <x:c r="K4" s="46" t="n">
        <x:v>0.95</x:v>
      </x:c>
      <x:c r="L4" s="41" t="str">
        <x:v>Derived estimate; cache proxy</x:v>
      </x:c>
    </x:row>
    <x:row r="5">
      <x:c r="A5" s="41" t="str">
        <x:v>x86_desktop</x:v>
      </x:c>
      <x:c r="B5" s="41" t="str">
        <x:v>latency_optimized</x:v>
      </x:c>
      <x:c r="C5" s="41" t="str">
        <x:v>[native-x86]</x:v>
      </x:c>
      <x:c r="D5" s="42" t="n">
        <x:v>0.8566536904666026</x:v>
      </x:c>
      <x:c r="E5" s="43" t="n">
        <x:v>64.2490267849952</x:v>
      </x:c>
      <x:c r="F5" s="42" t="n">
        <x:v>0.11781417868210939</x:v>
      </x:c>
      <x:c r="G5" s="43" t="n">
        <x:v>5.145606994628906</x:v>
      </x:c>
      <x:c r="H5" s="43" t="str">
        <x:v>compute</x:v>
      </x:c>
      <x:c r="I5" s="43" t="n">
        <x:v>23.874606805263163</x:v>
      </x:c>
      <x:c r="J5" s="46" t="n">
        <x:v>243.41759243610997</x:v>
      </x:c>
      <x:c r="K5" s="46" t="n">
        <x:v>0.95</x:v>
      </x:c>
      <x:c r="L5" s="41" t="str">
        <x:v>Derived estimate; cache proxy</x:v>
      </x:c>
    </x:row>
    <x:row r="6">
      <x:c r="A6" s="41" t="str">
        <x:v>x86_desktop</x:v>
      </x:c>
      <x:c r="B6" s="41" t="str">
        <x:v>memory_optimized</x:v>
      </x:c>
      <x:c r="C6" s="41" t="str">
        <x:v>[native-x86]</x:v>
      </x:c>
      <x:c r="D6" s="42" t="n">
        <x:v>0.8566536904666026</x:v>
      </x:c>
      <x:c r="E6" s="43" t="n">
        <x:v>64.2490267849952</x:v>
      </x:c>
      <x:c r="F6" s="42" t="n">
        <x:v>0.11781417868210939</x:v>
      </x:c>
      <x:c r="G6" s="43" t="n">
        <x:v>5.145606994628906</x:v>
      </x:c>
      <x:c r="H6" s="43" t="str">
        <x:v>compute</x:v>
      </x:c>
      <x:c r="I6" s="43" t="n">
        <x:v>23.874606805263163</x:v>
      </x:c>
      <x:c r="J6" s="46" t="n">
        <x:v>243.41759243610997</x:v>
      </x:c>
      <x:c r="K6" s="46" t="n">
        <x:v>0.95</x:v>
      </x:c>
      <x:c r="L6" s="41" t="str">
        <x:v>Derived estimate; cache proxy</x:v>
      </x:c>
    </x:row>
    <x:row r="7">
      <x:c r="A7" s="41" t="str">
        <x:v>x86_desktop</x:v>
      </x:c>
      <x:c r="B7" s="41" t="str">
        <x:v>energy_optimized</x:v>
      </x:c>
      <x:c r="C7" s="41" t="str">
        <x:v>[native-x86]</x:v>
      </x:c>
      <x:c r="D7" s="42" t="n">
        <x:v>0.8566570373733157</x:v>
      </x:c>
      <x:c r="E7" s="43" t="n">
        <x:v>64.24927780299868</x:v>
      </x:c>
      <x:c r="F7" s="42" t="n">
        <x:v>0.1178387761732633</x:v>
      </x:c>
      <x:c r="G7" s="43" t="n">
        <x:v>5.1468658447265625</x:v>
      </x:c>
      <x:c r="H7" s="43" t="str">
        <x:v>compute</x:v>
      </x:c>
      <x:c r="I7" s="43" t="n">
        <x:v>23.875566157894735</x:v>
      </x:c>
      <x:c r="J7" s="46" t="n">
        <x:v>243.41769463364886</x:v>
      </x:c>
      <x:c r="K7" s="46" t="n">
        <x:v>0.95</x:v>
      </x:c>
      <x:c r="L7" s="41" t="str">
        <x:v>Derived estimate; cache proxy</x:v>
      </x:c>
    </x:row>
    <x:row r="8">
      <x:c r="A8" s="41" t="str">
        <x:v>x86_desktop</x:v>
      </x:c>
      <x:c r="B8" s="41" t="str">
        <x:v>ptq_int8</x:v>
      </x:c>
      <x:c r="C8" s="41" t="str">
        <x:v>[native-x86]</x:v>
      </x:c>
      <x:c r="D8" s="42" t="n">
        <x:v>0.8566536904666026</x:v>
      </x:c>
      <x:c r="E8" s="43" t="n">
        <x:v>64.2490267849952</x:v>
      </x:c>
      <x:c r="F8" s="42" t="n">
        <x:v>0.035198829880307106</x:v>
      </x:c>
      <x:c r="G8" s="43" t="n">
        <x:v>1.5373306274414062</x:v>
      </x:c>
      <x:c r="H8" s="43" t="str">
        <x:v>compute</x:v>
      </x:c>
      <x:c r="I8" s="43" t="n">
        <x:v>23.53408712526316</x:v>
      </x:c>
      <x:c r="J8" s="46" t="n">
        <x:v>239.9457664345843</x:v>
      </x:c>
      <x:c r="K8" s="46" t="n">
        <x:v>0.95</x:v>
      </x:c>
      <x:c r="L8" s="41" t="str">
        <x:v>Derived estimate; cache proxy</x:v>
      </x:c>
    </x:row>
    <x:row r="9">
      <x:c r="A9" s="41" t="str">
        <x:v>x86_desktop</x:v>
      </x:c>
      <x:c r="B9" s="41" t="str">
        <x:v>qat_int8</x:v>
      </x:c>
      <x:c r="C9" s="41" t="str">
        <x:v>[native-x86]</x:v>
      </x:c>
      <x:c r="D9" s="42" t="n">
        <x:v>0.8566536904666026</x:v>
      </x:c>
      <x:c r="E9" s="43" t="n">
        <x:v>64.2490267849952</x:v>
      </x:c>
      <x:c r="F9" s="42" t="n">
        <x:v>0.035198829880307106</x:v>
      </x:c>
      <x:c r="G9" s="43" t="n">
        <x:v>1.5373306274414062</x:v>
      </x:c>
      <x:c r="H9" s="43" t="str">
        <x:v>compute</x:v>
      </x:c>
      <x:c r="I9" s="43" t="n">
        <x:v>23.53408712526316</x:v>
      </x:c>
      <x:c r="J9" s="46" t="n">
        <x:v>239.9457664345843</x:v>
      </x:c>
      <x:c r="K9" s="46" t="n">
        <x:v>0.95</x:v>
      </x:c>
      <x:c r="L9" s="41" t="str">
        <x:v>Derived estimate; cache proxy</x:v>
      </x:c>
    </x:row>
    <x:row r="10">
      <x:c r="A10" s="41" t="str">
        <x:v>x86_desktop</x:v>
      </x:c>
      <x:c r="B10" s="41" t="str">
        <x:v>mixed_precision</x:v>
      </x:c>
      <x:c r="C10" s="41" t="str">
        <x:v>[native-x86]</x:v>
      </x:c>
      <x:c r="D10" s="42" t="n">
        <x:v>0.8566536904666026</x:v>
      </x:c>
      <x:c r="E10" s="43" t="n">
        <x:v>64.2490267849952</x:v>
      </x:c>
      <x:c r="F10" s="42" t="n">
        <x:v>0.08635383028667527</x:v>
      </x:c>
      <x:c r="G10" s="43" t="n">
        <x:v>3.771556854248047</x:v>
      </x:c>
      <x:c r="H10" s="43" t="str">
        <x:v>compute</x:v>
      </x:c>
      <x:c r="I10" s="43" t="n">
        <x:v>23.744935165263158</x:v>
      </x:c>
      <x:c r="J10" s="46" t="n">
        <x:v>242.0955032945588</x:v>
      </x:c>
      <x:c r="K10" s="46" t="n">
        <x:v>0.95</x:v>
      </x:c>
      <x:c r="L10" s="41" t="str">
        <x:v>Derived estimate; cache proxy</x:v>
      </x:c>
    </x:row>
    <x:row r="11">
      <x:c r="A11" s="41" t="str">
        <x:v>x86_desktop</x:v>
      </x:c>
      <x:c r="B11" s="41" t="str">
        <x:v>dynamic_range</x:v>
      </x:c>
      <x:c r="C11" s="41" t="str">
        <x:v>[native-x86]</x:v>
      </x:c>
      <x:c r="D11" s="42" t="n">
        <x:v>0.8566536904666026</x:v>
      </x:c>
      <x:c r="E11" s="43" t="n">
        <x:v>64.2490267849952</x:v>
      </x:c>
      <x:c r="F11" s="42" t="n">
        <x:v>0.07421064360996157</x:v>
      </x:c>
      <x:c r="G11" s="43" t="n">
        <x:v>3.2411956787109375</x:v>
      </x:c>
      <x:c r="H11" s="43" t="str">
        <x:v>compute</x:v>
      </x:c>
      <x:c r="I11" s="43" t="n">
        <x:v>23.694884005263162</x:v>
      </x:c>
      <x:c r="J11" s="46" t="n">
        <x:v>241.58519822586345</x:v>
      </x:c>
      <x:c r="K11" s="46" t="n">
        <x:v>0.95</x:v>
      </x:c>
      <x:c r="L11" s="41" t="str">
        <x:v>Derived estimate; cache proxy</x:v>
      </x:c>
    </x:row>
    <x:row r="12">
      <x:c r="A12" s="41" t="str">
        <x:v>arm_cortex_a78</x:v>
      </x:c>
      <x:c r="B12" s="41" t="str">
        <x:v>baseline</x:v>
      </x:c>
      <x:c r="C12" s="41" t="str">
        <x:v>[modeled-ARM]</x:v>
      </x:c>
      <x:c r="D12" s="42" t="n">
        <x:v>0.789466656738113</x:v>
      </x:c>
      <x:c r="E12" s="43" t="n">
        <x:v>7.8946665673811305</x:v>
      </x:c>
      <x:c r="F12" s="42" t="n">
        <x:v>0.01505009937115802</x:v>
      </x:c>
      <x:c r="G12" s="43" t="n">
        <x:v>9.810829162597656</x:v>
      </x:c>
      <x:c r="H12" s="43" t="str">
        <x:v>compute</x:v>
      </x:c>
      <x:c r="I12" s="43" t="n">
        <x:v>101.98480205999999</x:v>
      </x:c>
      <x:c r="J12" s="46" t="n">
        <x:v>170.08966091615895</x:v>
      </x:c>
      <x:c r="K12" s="46" t="n">
        <x:v>0.8</x:v>
      </x:c>
      <x:c r="L12" s="41" t="str">
        <x:v>Derived estimate; cache proxy</x:v>
      </x:c>
    </x:row>
    <x:row r="13">
      <x:c r="A13" s="41" t="str">
        <x:v>arm_cortex_a78</x:v>
      </x:c>
      <x:c r="B13" s="41" t="str">
        <x:v>latency_optimized</x:v>
      </x:c>
      <x:c r="C13" s="41" t="str">
        <x:v>[modeled-ARM]</x:v>
      </x:c>
      <x:c r="D13" s="42" t="n">
        <x:v>0.7396686640738018</x:v>
      </x:c>
      <x:c r="E13" s="43" t="n">
        <x:v>7.396686640738018</x:v>
      </x:c>
      <x:c r="F13" s="42" t="n">
        <x:v>0.045211297620827484</x:v>
      </x:c>
      <x:c r="G13" s="43" t="n">
        <x:v>5.145606994628906</x:v>
      </x:c>
      <x:c r="H13" s="43" t="str">
        <x:v>compute</x:v>
      </x:c>
      <x:c r="I13" s="43" t="n">
        <x:v>18.3545427</x:v>
      </x:c>
      <x:c r="J13" s="46" t="n">
        <x:v>187.13684504805525</x:v>
      </x:c>
      <x:c r="K13" s="46" t="n">
        <x:v>0.8</x:v>
      </x:c>
      <x:c r="L13" s="41" t="str">
        <x:v>Derived estimate; cache proxy</x:v>
      </x:c>
    </x:row>
    <x:row r="14">
      <x:c r="A14" s="41" t="str">
        <x:v>arm_cortex_a78</x:v>
      </x:c>
      <x:c r="B14" s="41" t="str">
        <x:v>memory_optimized</x:v>
      </x:c>
      <x:c r="C14" s="41" t="str">
        <x:v>[modeled-ARM]</x:v>
      </x:c>
      <x:c r="D14" s="42" t="n">
        <x:v>0.7396686640738018</x:v>
      </x:c>
      <x:c r="E14" s="43" t="n">
        <x:v>7.396686640738018</x:v>
      </x:c>
      <x:c r="F14" s="42" t="n">
        <x:v>0.045211297620827484</x:v>
      </x:c>
      <x:c r="G14" s="43" t="n">
        <x:v>5.145606994628906</x:v>
      </x:c>
      <x:c r="H14" s="43" t="str">
        <x:v>compute</x:v>
      </x:c>
      <x:c r="I14" s="43" t="n">
        <x:v>18.3545427</x:v>
      </x:c>
      <x:c r="J14" s="46" t="n">
        <x:v>187.13684504805525</x:v>
      </x:c>
      <x:c r="K14" s="46" t="n">
        <x:v>0.8</x:v>
      </x:c>
      <x:c r="L14" s="41" t="str">
        <x:v>Derived estimate; cache proxy</x:v>
      </x:c>
    </x:row>
    <x:row r="15">
      <x:c r="A15" s="41" t="str">
        <x:v>arm_cortex_a78</x:v>
      </x:c>
      <x:c r="B15" s="41" t="str">
        <x:v>energy_optimized</x:v>
      </x:c>
      <x:c r="C15" s="41" t="str">
        <x:v>[modeled-ARM]</x:v>
      </x:c>
      <x:c r="D15" s="42" t="n">
        <x:v>0.7396708820380986</x:v>
      </x:c>
      <x:c r="E15" s="43" t="n">
        <x:v>7.396708820380986</x:v>
      </x:c>
      <x:c r="F15" s="42" t="n">
        <x:v>0.045220695853642565</x:v>
      </x:c>
      <x:c r="G15" s="43" t="n">
        <x:v>5.1468658447265625</x:v>
      </x:c>
      <x:c r="H15" s="43" t="str">
        <x:v>compute</x:v>
      </x:c>
      <x:c r="I15" s="43" t="n">
        <x:v>18.3554238</x:v>
      </x:c>
      <x:c r="J15" s="46" t="n">
        <x:v>187.1383872479272</x:v>
      </x:c>
      <x:c r="K15" s="46" t="n">
        <x:v>0.8</x:v>
      </x:c>
      <x:c r="L15" s="41" t="str">
        <x:v>Derived estimate; cache proxy</x:v>
      </x:c>
    </x:row>
    <x:row r="16">
      <x:c r="A16" s="41" t="str">
        <x:v>arm_cortex_a78</x:v>
      </x:c>
      <x:c r="B16" s="41" t="str">
        <x:v>ptq_int8</x:v>
      </x:c>
      <x:c r="C16" s="41" t="str">
        <x:v>[modeled-ARM]</x:v>
      </x:c>
      <x:c r="D16" s="42" t="n">
        <x:v>0.7396686640738018</x:v>
      </x:c>
      <x:c r="E16" s="43" t="n">
        <x:v>7.396686640738018</x:v>
      </x:c>
      <x:c r="F16" s="42" t="n">
        <x:v>0.013507582800516511</x:v>
      </x:c>
      <x:c r="G16" s="43" t="n">
        <x:v>1.5373306274414062</x:v>
      </x:c>
      <x:c r="H16" s="43" t="str">
        <x:v>compute</x:v>
      </x:c>
      <x:c r="I16" s="43" t="n">
        <x:v>17.67350334</x:v>
      </x:c>
      <x:c r="J16" s="46" t="n">
        <x:v>180.19319304500388</x:v>
      </x:c>
      <x:c r="K16" s="46" t="n">
        <x:v>0.8</x:v>
      </x:c>
      <x:c r="L16" s="41" t="str">
        <x:v>Derived estimate; cache proxy</x:v>
      </x:c>
    </x:row>
    <x:row r="17">
      <x:c r="A17" s="41" t="str">
        <x:v>arm_cortex_a78</x:v>
      </x:c>
      <x:c r="B17" s="41" t="str">
        <x:v>qat_int8</x:v>
      </x:c>
      <x:c r="C17" s="41" t="str">
        <x:v>[modeled-ARM]</x:v>
      </x:c>
      <x:c r="D17" s="42" t="n">
        <x:v>0.7396686640738018</x:v>
      </x:c>
      <x:c r="E17" s="43" t="n">
        <x:v>7.396686640738018</x:v>
      </x:c>
      <x:c r="F17" s="42" t="n">
        <x:v>0.013507582800516511</x:v>
      </x:c>
      <x:c r="G17" s="43" t="n">
        <x:v>1.5373306274414062</x:v>
      </x:c>
      <x:c r="H17" s="43" t="str">
        <x:v>compute</x:v>
      </x:c>
      <x:c r="I17" s="43" t="n">
        <x:v>17.67350334</x:v>
      </x:c>
      <x:c r="J17" s="46" t="n">
        <x:v>180.19319304500388</x:v>
      </x:c>
      <x:c r="K17" s="46" t="n">
        <x:v>0.8</x:v>
      </x:c>
      <x:c r="L17" s="41" t="str">
        <x:v>Derived estimate; cache proxy</x:v>
      </x:c>
    </x:row>
    <x:row r="18">
      <x:c r="A18" s="41" t="str">
        <x:v>arm_cortex_a78</x:v>
      </x:c>
      <x:c r="B18" s="41" t="str">
        <x:v>mixed_precision</x:v>
      </x:c>
      <x:c r="C18" s="41" t="str">
        <x:v>[modeled-ARM]</x:v>
      </x:c>
      <x:c r="D18" s="42" t="n">
        <x:v>0.7396686640738018</x:v>
      </x:c>
      <x:c r="E18" s="43" t="n">
        <x:v>7.396686640738018</x:v>
      </x:c>
      <x:c r="F18" s="42" t="n">
        <x:v>0.03313836047122712</x:v>
      </x:c>
      <x:c r="G18" s="43" t="n">
        <x:v>3.771556854248047</x:v>
      </x:c>
      <x:c r="H18" s="43" t="str">
        <x:v>compute</x:v>
      </x:c>
      <x:c r="I18" s="43" t="n">
        <x:v>18.09519942</x:v>
      </x:c>
      <x:c r="J18" s="46" t="n">
        <x:v>184.49266676495293</x:v>
      </x:c>
      <x:c r="K18" s="46" t="n">
        <x:v>0.8</x:v>
      </x:c>
      <x:c r="L18" s="41" t="str">
        <x:v>Derived estimate; cache proxy</x:v>
      </x:c>
    </x:row>
    <x:row r="19">
      <x:c r="A19" s="41" t="str">
        <x:v>arm_cortex_a78</x:v>
      </x:c>
      <x:c r="B19" s="41" t="str">
        <x:v>dynamic_range</x:v>
      </x:c>
      <x:c r="C19" s="41" t="str">
        <x:v>[modeled-ARM]</x:v>
      </x:c>
      <x:c r="D19" s="42" t="n">
        <x:v>0.7396686640738018</x:v>
      </x:c>
      <x:c r="E19" s="43" t="n">
        <x:v>7.396686640738018</x:v>
      </x:c>
      <x:c r="F19" s="42" t="n">
        <x:v>0.028478401601696415</x:v>
      </x:c>
      <x:c r="G19" s="43" t="n">
        <x:v>3.2411956787109375</x:v>
      </x:c>
      <x:c r="H19" s="43" t="str">
        <x:v>compute</x:v>
      </x:c>
      <x:c r="I19" s="43" t="n">
        <x:v>17.9950971</x:v>
      </x:c>
      <x:c r="J19" s="46" t="n">
        <x:v>183.4720566275622</x:v>
      </x:c>
      <x:c r="K19" s="46" t="n">
        <x:v>0.8</x:v>
      </x:c>
      <x:c r="L19" s="41" t="str">
        <x:v>Derived estimate; cache proxy</x:v>
      </x:c>
    </x:row>
    <x:row r="20">
      <x:c r="A20" s="41" t="str">
        <x:v>arm_cortex_m7</x:v>
      </x:c>
      <x:c r="B20" s="41" t="str">
        <x:v>baseline</x:v>
      </x:c>
      <x:c r="C20" s="41" t="str">
        <x:v>[modeled-Cortex-M]</x:v>
      </x:c>
      <x:c r="D20" s="42" t="n">
        <x:v>0.6437194889801634</x:v>
      </x:c>
      <x:c r="E20" s="43" t="n">
        <x:v>0.28967377004107353</x:v>
      </x:c>
      <x:c r="F20" s="42" t="n">
        <x:v>0.06212512410141124</x:v>
      </x:c>
      <x:c r="G20" s="43" t="n">
        <x:v>9.810829162597656</x:v>
      </x:c>
      <x:c r="H20" s="43" t="str">
        <x:v>compute</x:v>
      </x:c>
      <x:c r="I20" s="43" t="n">
        <x:v>148.72908491692309</x:v>
      </x:c>
      <x:c r="J20" s="46" t="n">
        <x:v>248.04950454291307</x:v>
      </x:c>
      <x:c r="K20" s="46" t="n">
        <x:v>0.65</x:v>
      </x:c>
      <x:c r="L20" s="41" t="str">
        <x:v>Derived estimate; cache proxy</x:v>
      </x:c>
    </x:row>
    <x:row r="21">
      <x:c r="A21" s="41" t="str">
        <x:v>arm_cortex_m7</x:v>
      </x:c>
      <x:c r="B21" s="41" t="str">
        <x:v>latency_optimized</x:v>
      </x:c>
      <x:c r="C21" s="41" t="str">
        <x:v>[modeled-Cortex-M]</x:v>
      </x:c>
      <x:c r="D21" s="42" t="n">
        <x:v>0.6134131767984986</x:v>
      </x:c>
      <x:c r="E21" s="43" t="n">
        <x:v>0.2760359295593244</x:v>
      </x:c>
      <x:c r="F21" s="42" t="n">
        <x:v>0.18981384595489734</x:v>
      </x:c>
      <x:c r="G21" s="43" t="n">
        <x:v>5.145606994628906</x:v>
      </x:c>
      <x:c r="H21" s="43" t="str">
        <x:v>compute</x:v>
      </x:c>
      <x:c r="I21" s="43" t="n">
        <x:v>28.50681457435897</x:v>
      </x:c>
      <x:c r="J21" s="46" t="n">
        <x:v>290.64605035436034</x:v>
      </x:c>
      <x:c r="K21" s="46" t="n">
        <x:v>0.65</x:v>
      </x:c>
      <x:c r="L21" s="41" t="str">
        <x:v>Derived estimate; cache proxy</x:v>
      </x:c>
    </x:row>
    <x:row r="22">
      <x:c r="A22" s="41" t="str">
        <x:v>arm_cortex_m7</x:v>
      </x:c>
      <x:c r="B22" s="41" t="str">
        <x:v>memory_optimized</x:v>
      </x:c>
      <x:c r="C22" s="41" t="str">
        <x:v>[modeled-Cortex-M]</x:v>
      </x:c>
      <x:c r="D22" s="42" t="n">
        <x:v>0.6134131767984986</x:v>
      </x:c>
      <x:c r="E22" s="43" t="n">
        <x:v>0.2760359295593244</x:v>
      </x:c>
      <x:c r="F22" s="42" t="n">
        <x:v>0.18981384595489734</x:v>
      </x:c>
      <x:c r="G22" s="43" t="n">
        <x:v>5.145606994628906</x:v>
      </x:c>
      <x:c r="H22" s="43" t="str">
        <x:v>compute</x:v>
      </x:c>
      <x:c r="I22" s="43" t="n">
        <x:v>28.50681457435897</x:v>
      </x:c>
      <x:c r="J22" s="46" t="n">
        <x:v>290.64605035436034</x:v>
      </x:c>
      <x:c r="K22" s="46" t="n">
        <x:v>0.65</x:v>
      </x:c>
      <x:c r="L22" s="41" t="str">
        <x:v>Derived estimate; cache proxy</x:v>
      </x:c>
    </x:row>
    <x:row r="23">
      <x:c r="A23" s="41" t="str">
        <x:v>arm_cortex_m7</x:v>
      </x:c>
      <x:c r="B23" s="41" t="str">
        <x:v>energy_optimized</x:v>
      </x:c>
      <x:c r="C23" s="41" t="str">
        <x:v>[modeled-Cortex-M]</x:v>
      </x:c>
      <x:c r="D23" s="42" t="n">
        <x:v>0.6134145496655786</x:v>
      </x:c>
      <x:c r="E23" s="43" t="n">
        <x:v>0.2760365473495104</x:v>
      </x:c>
      <x:c r="F23" s="42" t="n">
        <x:v>0.1898531588469536</x:v>
      </x:c>
      <x:c r="G23" s="43" t="n">
        <x:v>5.1468658447265625</x:v>
      </x:c>
      <x:c r="H23" s="43" t="str">
        <x:v>compute</x:v>
      </x:c>
      <x:c r="I23" s="43" t="n">
        <x:v>28.50890324102564</x:v>
      </x:c>
      <x:c r="J23" s="46" t="n">
        <x:v>290.65578833068093</x:v>
      </x:c>
      <x:c r="K23" s="46" t="n">
        <x:v>0.65</x:v>
      </x:c>
      <x:c r="L23" s="41" t="str">
        <x:v>Derived estimate; cache proxy</x:v>
      </x:c>
    </x:row>
    <x:row r="24">
      <x:c r="A24" s="41" t="str">
        <x:v>arm_cortex_m7</x:v>
      </x:c>
      <x:c r="B24" s="41" t="str">
        <x:v>ptq_int8</x:v>
      </x:c>
      <x:c r="C24" s="41" t="str">
        <x:v>[QEMU-CM]</x:v>
      </x:c>
      <x:c r="D24" s="42" t="n">
        <x:v>0.6134131767984986</x:v>
      </x:c>
      <x:c r="E24" s="43" t="n">
        <x:v>0.2760359295593244</x:v>
      </x:c>
      <x:c r="F24" s="42" t="n">
        <x:v>0.05670985739942881</x:v>
      </x:c>
      <x:c r="G24" s="43" t="n">
        <x:v>1.5373306274414062</x:v>
      </x:c>
      <x:c r="H24" s="43" t="str">
        <x:v>compute</x:v>
      </x:c>
      <x:c r="I24" s="43" t="n">
        <x:v>25.10161777435897</x:v>
      </x:c>
      <x:c r="J24" s="46" t="n">
        <x:v>255.92779033910358</x:v>
      </x:c>
      <x:c r="K24" s="46" t="n">
        <x:v>0.65</x:v>
      </x:c>
      <x:c r="L24" s="41" t="str">
        <x:v>Derived estimate; cache proxy</x:v>
      </x:c>
    </x:row>
    <x:row r="25">
      <x:c r="A25" s="41" t="str">
        <x:v>arm_cortex_m7</x:v>
      </x:c>
      <x:c r="B25" s="41" t="str">
        <x:v>qat_int8</x:v>
      </x:c>
      <x:c r="C25" s="41" t="str">
        <x:v>[modeled-Cortex-M]</x:v>
      </x:c>
      <x:c r="D25" s="42" t="n">
        <x:v>0.6134131767984986</x:v>
      </x:c>
      <x:c r="E25" s="43" t="n">
        <x:v>0.2760359295593244</x:v>
      </x:c>
      <x:c r="F25" s="42" t="n">
        <x:v>0.05670985739942881</x:v>
      </x:c>
      <x:c r="G25" s="43" t="n">
        <x:v>1.5373306274414062</x:v>
      </x:c>
      <x:c r="H25" s="43" t="str">
        <x:v>compute</x:v>
      </x:c>
      <x:c r="I25" s="43" t="n">
        <x:v>25.10161777435897</x:v>
      </x:c>
      <x:c r="J25" s="46" t="n">
        <x:v>255.92779033910358</x:v>
      </x:c>
      <x:c r="K25" s="46" t="n">
        <x:v>0.65</x:v>
      </x:c>
      <x:c r="L25" s="41" t="str">
        <x:v>Derived estimate; cache proxy</x:v>
      </x:c>
    </x:row>
    <x:row r="26">
      <x:c r="A26" s="41" t="str">
        <x:v>arm_cortex_m7</x:v>
      </x:c>
      <x:c r="B26" s="41" t="str">
        <x:v>mixed_precision</x:v>
      </x:c>
      <x:c r="C26" s="41" t="str">
        <x:v>[modeled-Cortex-M]</x:v>
      </x:c>
      <x:c r="D26" s="42" t="n">
        <x:v>0.6134131767984986</x:v>
      </x:c>
      <x:c r="E26" s="43" t="n">
        <x:v>0.2760359295593244</x:v>
      </x:c>
      <x:c r="F26" s="42" t="n">
        <x:v>0.1391271646842911</x:v>
      </x:c>
      <x:c r="G26" s="43" t="n">
        <x:v>3.771556854248047</x:v>
      </x:c>
      <x:c r="H26" s="43" t="str">
        <x:v>compute</x:v>
      </x:c>
      <x:c r="I26" s="43" t="n">
        <x:v>27.21009817435897</x:v>
      </x:c>
      <x:c r="J26" s="46" t="n">
        <x:v>277.4251589388487</x:v>
      </x:c>
      <x:c r="K26" s="46" t="n">
        <x:v>0.65</x:v>
      </x:c>
      <x:c r="L26" s="41" t="str">
        <x:v>Derived estimate; cache proxy</x:v>
      </x:c>
    </x:row>
    <x:row r="27">
      <x:c r="A27" s="41" t="str">
        <x:v>arm_cortex_m7</x:v>
      </x:c>
      <x:c r="B27" s="41" t="str">
        <x:v>dynamic_range</x:v>
      </x:c>
      <x:c r="C27" s="41" t="str">
        <x:v>[modeled-Cortex-M]</x:v>
      </x:c>
      <x:c r="D27" s="42" t="n">
        <x:v>0.6134131767984986</x:v>
      </x:c>
      <x:c r="E27" s="43" t="n">
        <x:v>0.2760359295593244</x:v>
      </x:c>
      <x:c r="F27" s="42" t="n">
        <x:v>0.11956292385149128</x:v>
      </x:c>
      <x:c r="G27" s="43" t="n">
        <x:v>3.2411956787109375</x:v>
      </x:c>
      <x:c r="H27" s="43" t="str">
        <x:v>compute</x:v>
      </x:c>
      <x:c r="I27" s="43" t="n">
        <x:v>26.70958657435897</x:v>
      </x:c>
      <x:c r="J27" s="46" t="n">
        <x:v>272.32210825189514</x:v>
      </x:c>
      <x:c r="K27" s="46" t="n">
        <x:v>0.65</x:v>
      </x:c>
      <x:c r="L27" s="41" t="str">
        <x:v>Derived estimate; cache proxy</x:v>
      </x:c>
    </x:row>
    <x:row r="28">
      <x:c r="A28" s="41" t="str">
        <x:v>webgpu_proxy</x:v>
      </x:c>
      <x:c r="B28" s="41" t="str">
        <x:v>baseline</x:v>
      </x:c>
      <x:c r="C28" s="41" t="str">
        <x:v>[modeled-GPU]</x:v>
      </x:c>
      <x:c r="D28" s="42" t="n">
        <x:v>0.1410978604622725</x:v>
      </x:c>
      <x:c r="E28" s="43" t="n">
        <x:v>141.09786046227248</x:v>
      </x:c>
      <x:c r="F28" s="42" t="n">
        <x:v>0.024208535251001494</x:v>
      </x:c>
      <x:c r="G28" s="43" t="n">
        <x:v>9.810829162597656</x:v>
      </x:c>
      <x:c r="H28" s="43" t="str">
        <x:v>compute</x:v>
      </x:c>
      <x:c r="I28" s="43" t="n">
        <x:v>35.658065368</x:v>
      </x:c>
      <x:c r="J28" s="46" t="n">
        <x:v>59.47031444745201</x:v>
      </x:c>
      <x:c r="K28" s="46" t="n">
        <x:v>0.8</x:v>
      </x:c>
      <x:c r="L28" s="41" t="str">
        <x:v>Derived estimate; cache proxy</x:v>
      </x:c>
    </x:row>
    <x:row r="29">
      <x:c r="A29" s="41" t="str">
        <x:v>webgpu_proxy</x:v>
      </x:c>
      <x:c r="B29" s="41" t="str">
        <x:v>latency_optimized</x:v>
      </x:c>
      <x:c r="C29" s="41" t="str">
        <x:v>[WebGPU-proxy]</x:v>
      </x:c>
      <x:c r="D29" s="42" t="n">
        <x:v>0.027074706259231154</x:v>
      </x:c>
      <x:c r="E29" s="43" t="n">
        <x:v>27.074706259231153</x:v>
      </x:c>
      <x:c r="F29" s="42" t="n">
        <x:v>0.014894159992485511</x:v>
      </x:c>
      <x:c r="G29" s="43" t="n">
        <x:v>5.145606994628906</x:v>
      </x:c>
      <x:c r="H29" s="43" t="str">
        <x:v>compute</x:v>
      </x:c>
      <x:c r="I29" s="43" t="n">
        <x:v>29.41977052</x:v>
      </x:c>
      <x:c r="J29" s="46" t="n">
        <x:v>299.95424713853447</x:v>
      </x:c>
      <x:c r="K29" s="46" t="n">
        <x:v>0.8</x:v>
      </x:c>
      <x:c r="L29" s="41" t="str">
        <x:v>Derived estimate; cache proxy</x:v>
      </x:c>
    </x:row>
    <x:row r="30">
      <x:c r="A30" s="41" t="str">
        <x:v>webgpu_proxy</x:v>
      </x:c>
      <x:c r="B30" s="41" t="str">
        <x:v>memory_optimized</x:v>
      </x:c>
      <x:c r="C30" s="41" t="str">
        <x:v>[modeled-GPU]</x:v>
      </x:c>
      <x:c r="D30" s="42" t="n">
        <x:v>0.027074706259231154</x:v>
      </x:c>
      <x:c r="E30" s="43" t="n">
        <x:v>27.074706259231153</x:v>
      </x:c>
      <x:c r="F30" s="42" t="n">
        <x:v>0.014894159992485511</x:v>
      </x:c>
      <x:c r="G30" s="43" t="n">
        <x:v>5.145606994628906</x:v>
      </x:c>
      <x:c r="H30" s="43" t="str">
        <x:v>compute</x:v>
      </x:c>
      <x:c r="I30" s="43" t="n">
        <x:v>29.41977052</x:v>
      </x:c>
      <x:c r="J30" s="46" t="n">
        <x:v>299.95424713853447</x:v>
      </x:c>
      <x:c r="K30" s="46" t="n">
        <x:v>0.8</x:v>
      </x:c>
      <x:c r="L30" s="41" t="str">
        <x:v>Derived estimate; cache proxy</x:v>
      </x:c>
    </x:row>
    <x:row r="31">
      <x:c r="A31" s="41" t="str">
        <x:v>webgpu_proxy</x:v>
      </x:c>
      <x:c r="B31" s="41" t="str">
        <x:v>energy_optimized</x:v>
      </x:c>
      <x:c r="C31" s="41" t="str">
        <x:v>[modeled-GPU]</x:v>
      </x:c>
      <x:c r="D31" s="42" t="n">
        <x:v>0.02707574639742421</x:v>
      </x:c>
      <x:c r="E31" s="43" t="n">
        <x:v>27.075746397424208</x:v>
      </x:c>
      <x:c r="F31" s="42" t="n">
        <x:v>0.014897783734938103</x:v>
      </x:c>
      <x:c r="G31" s="43" t="n">
        <x:v>5.1468658447265625</x:v>
      </x:c>
      <x:c r="H31" s="43" t="str">
        <x:v>compute</x:v>
      </x:c>
      <x:c r="I31" s="43" t="n">
        <x:v>29.41987672</x:v>
      </x:c>
      <x:c r="J31" s="46" t="n">
        <x:v>299.94340323613983</x:v>
      </x:c>
      <x:c r="K31" s="46" t="n">
        <x:v>0.8</x:v>
      </x:c>
      <x:c r="L31" s="41" t="str">
        <x:v>Derived estimate; cache proxy</x:v>
      </x:c>
    </x:row>
    <x:row r="32">
      <x:c r="A32" s="41" t="str">
        <x:v>webgpu_proxy</x:v>
      </x:c>
      <x:c r="B32" s="41" t="str">
        <x:v>ptq_int8</x:v>
      </x:c>
      <x:c r="C32" s="41" t="str">
        <x:v>[modeled-GPU]</x:v>
      </x:c>
      <x:c r="D32" s="42" t="n">
        <x:v>0.027074706259231154</x:v>
      </x:c>
      <x:c r="E32" s="43" t="n">
        <x:v>27.074706259231153</x:v>
      </x:c>
      <x:c r="F32" s="42" t="n">
        <x:v>0.004449863417544534</x:v>
      </x:c>
      <x:c r="G32" s="43" t="n">
        <x:v>1.5373306274414062</x:v>
      </x:c>
      <x:c r="H32" s="43" t="str">
        <x:v>compute</x:v>
      </x:c>
      <x:c r="I32" s="43" t="n">
        <x:v>29.249510679999997</x:v>
      </x:c>
      <x:c r="J32" s="46" t="n">
        <x:v>298.2183341377716</x:v>
      </x:c>
      <x:c r="K32" s="46" t="n">
        <x:v>0.8</x:v>
      </x:c>
      <x:c r="L32" s="41" t="str">
        <x:v>Derived estimate; cache proxy</x:v>
      </x:c>
    </x:row>
    <x:row r="33">
      <x:c r="A33" s="41" t="str">
        <x:v>webgpu_proxy</x:v>
      </x:c>
      <x:c r="B33" s="41" t="str">
        <x:v>qat_int8</x:v>
      </x:c>
      <x:c r="C33" s="41" t="str">
        <x:v>[modeled-GPU]</x:v>
      </x:c>
      <x:c r="D33" s="42" t="n">
        <x:v>0.027074706259231154</x:v>
      </x:c>
      <x:c r="E33" s="43" t="n">
        <x:v>27.074706259231153</x:v>
      </x:c>
      <x:c r="F33" s="42" t="n">
        <x:v>0.004449863417544534</x:v>
      </x:c>
      <x:c r="G33" s="43" t="n">
        <x:v>1.5373306274414062</x:v>
      </x:c>
      <x:c r="H33" s="43" t="str">
        <x:v>compute</x:v>
      </x:c>
      <x:c r="I33" s="43" t="n">
        <x:v>29.249510679999997</x:v>
      </x:c>
      <x:c r="J33" s="46" t="n">
        <x:v>298.2183341377716</x:v>
      </x:c>
      <x:c r="K33" s="46" t="n">
        <x:v>0.8</x:v>
      </x:c>
      <x:c r="L33" s="41" t="str">
        <x:v>Derived estimate; cache proxy</x:v>
      </x:c>
    </x:row>
    <x:row r="34">
      <x:c r="A34" s="41" t="str">
        <x:v>webgpu_proxy</x:v>
      </x:c>
      <x:c r="B34" s="41" t="str">
        <x:v>mixed_precision</x:v>
      </x:c>
      <x:c r="C34" s="41" t="str">
        <x:v>[modeled-GPU]</x:v>
      </x:c>
      <x:c r="D34" s="42" t="n">
        <x:v>0.027074706259231154</x:v>
      </x:c>
      <x:c r="E34" s="43" t="n">
        <x:v>27.074706259231153</x:v>
      </x:c>
      <x:c r="F34" s="42" t="n">
        <x:v>0.010916918308483636</x:v>
      </x:c>
      <x:c r="G34" s="43" t="n">
        <x:v>3.771556854248047</x:v>
      </x:c>
      <x:c r="H34" s="43" t="str">
        <x:v>compute</x:v>
      </x:c>
      <x:c r="I34" s="43" t="n">
        <x:v>29.354934699999998</x:v>
      </x:c>
      <x:c r="J34" s="46" t="n">
        <x:v>299.2932025677589</x:v>
      </x:c>
      <x:c r="K34" s="46" t="n">
        <x:v>0.8</x:v>
      </x:c>
      <x:c r="L34" s="41" t="str">
        <x:v>Derived estimate; cache proxy</x:v>
      </x:c>
    </x:row>
    <x:row r="35">
      <x:c r="A35" s="41" t="str">
        <x:v>webgpu_proxy</x:v>
      </x:c>
      <x:c r="B35" s="41" t="str">
        <x:v>dynamic_range</x:v>
      </x:c>
      <x:c r="C35" s="41" t="str">
        <x:v>[modeled-GPU]</x:v>
      </x:c>
      <x:c r="D35" s="42" t="n">
        <x:v>0.027074706259231154</x:v>
      </x:c>
      <x:c r="E35" s="43" t="n">
        <x:v>27.074706259231153</x:v>
      </x:c>
      <x:c r="F35" s="42" t="n">
        <x:v>0.009381767215425453</x:v>
      </x:c>
      <x:c r="G35" s="43" t="n">
        <x:v>3.2411956787109375</x:v>
      </x:c>
      <x:c r="H35" s="43" t="str">
        <x:v>compute</x:v>
      </x:c>
      <x:c r="I35" s="43" t="n">
        <x:v>29.329909119999996</x:v>
      </x:c>
      <x:c r="J35" s="46" t="n">
        <x:v>299.0380500334112</x:v>
      </x:c>
      <x:c r="K35" s="46" t="n">
        <x:v>0.8</x:v>
      </x:c>
      <x:c r="L35" s="41" t="str">
        <x:v>Derived estimate; cache proxy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55A11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20" hidden="0" customWidth="1"/>
    <x:col min="5" max="5" width="22" hidden="0" customWidth="1"/>
    <x:col min="6" max="6" width="20" hidden="0" customWidth="1"/>
    <x:col min="7" max="7" width="24" hidden="0" customWidth="1"/>
    <x:col min="8" max="8" width="48" hidden="0" customWidth="1"/>
    <x:col min="9" max="9" width="28" hidden="0" customWidth="1"/>
  </x:cols>
  <x:sheetData>
    <x:row r="1" ht="28" customHeight="1">
      <x:c r="A1" s="48" t="str">
        <x:v>Hardware-constrained design cases</x:v>
      </x:c>
      <x:c r="B1" s="48" t="str">
        <x:v>Hardware-constrained design cases</x:v>
      </x:c>
      <x:c r="C1" s="48" t="str">
        <x:v>Hardware-constrained design cases</x:v>
      </x:c>
      <x:c r="D1" s="48" t="str">
        <x:v>Hardware-constrained design cases</x:v>
      </x:c>
      <x:c r="E1" s="48" t="str">
        <x:v>Hardware-constrained design cases</x:v>
      </x:c>
      <x:c r="F1" s="48" t="str">
        <x:v>Hardware-constrained design cases</x:v>
      </x:c>
      <x:c r="G1" s="48" t="str">
        <x:v>Hardware-constrained design cases</x:v>
      </x:c>
      <x:c r="H1" s="48" t="str">
        <x:v>Hardware-constrained design cases</x:v>
      </x:c>
      <x:c r="I1" s="48" t="str">
        <x:v>Hardware-constrained design cases</x:v>
      </x:c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</x:row>
    <x:row r="3">
      <x:c r="A3" s="55" t="str">
        <x:v>Case</x:v>
      </x:c>
      <x:c r="B3" s="55" t="str">
        <x:v>Platform</x:v>
      </x:c>
      <x:c r="C3" s="55" t="str">
        <x:v>Accuracy target</x:v>
      </x:c>
      <x:c r="D3" s="55" t="str">
        <x:v>Latency limit (ms)</x:v>
      </x:c>
      <x:c r="E3" s="55" t="str">
        <x:v>Model-size limit (MiB)</x:v>
      </x:c>
      <x:c r="F3" s="55" t="str">
        <x:v>Energy limit (mJ)</x:v>
      </x:c>
      <x:c r="G3" s="55" t="str">
        <x:v>Working-set limit (MiB)</x:v>
      </x:c>
      <x:c r="H3" s="55" t="str">
        <x:v>Feasible models</x:v>
      </x:c>
      <x:c r="I3" s="55" t="str">
        <x:v>Recommendation</x:v>
      </x:c>
    </x:row>
    <x:row r="4">
      <x:c r="A4" s="41" t="str">
        <x:v>accuracy-sensitive mobile deployment</x:v>
      </x:c>
      <x:c r="B4" s="41" t="str">
        <x:v>arm_cortex_a78</x:v>
      </x:c>
      <x:c r="C4" s="42" t="n">
        <x:v>0.88</x:v>
      </x:c>
      <x:c r="D4" s="43" t="n">
        <x:v>20</x:v>
      </x:c>
      <x:c r="E4" s="43" t="n">
        <x:v>10</x:v>
      </x:c>
      <x:c r="F4" s="43" t="n">
        <x:v>20</x:v>
      </x:c>
      <x:c r="G4" s="43" t="n">
        <x:v>8</x:v>
      </x:c>
      <x:c r="H4" s="41" t="str">
        <x:v>latency_optimized, mixed_precision, dynamic_range</x:v>
      </x:c>
      <x:c r="I4" s="41" t="str">
        <x:v>latency_optimized</x:v>
      </x:c>
    </x:row>
    <x:row r="5">
      <x:c r="A5" s="41" t="str">
        <x:v>strict SRAM MCU deployment</x:v>
      </x:c>
      <x:c r="B5" s="41" t="str">
        <x:v>arm_cortex_m7</x:v>
      </x:c>
      <x:c r="C5" s="42" t="n">
        <x:v>0.85</x:v>
      </x:c>
      <x:c r="D5" s="43" t="n">
        <x:v>1000</x:v>
      </x:c>
      <x:c r="E5" s="43" t="n">
        <x:v>1</x:v>
      </x:c>
      <x:c r="F5" s="43" t="n">
        <x:v>40</x:v>
      </x:c>
      <x:c r="G5" s="43" t="n">
        <x:v>0.5</x:v>
      </x:c>
      <x:c r="H5" s="41" t="str">
        <x:v>None</x:v>
      </x:c>
      <x:c r="I5" s="41" t="str">
        <x:v>No fully feasible model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</x:row>
    <x:row r="8">
      <x:c r="A8" s="58" t="str">
        <x:v>The strict Cortex-M case has no fully feasible variant: the PTQ INT8 artifact fits the modeled 2 MiB flash, but the measured 707,028-byte tensor arena exceeds the modeled 512 KiB SRAM. Reducing input resolution or activation working set is required before real MCU deployment.</x:v>
      </x:c>
      <x:c r="B8" s="58"/>
      <x:c r="C8" s="58"/>
      <x:c r="D8" s="58"/>
      <x:c r="E8" s="58"/>
      <x:c r="F8" s="58"/>
      <x:c r="G8" s="58"/>
      <x:c r="H8" s="58"/>
      <x:c r="I8" s="58"/>
    </x:row>
    <x:row r="9">
      <x:c r="A9" s="58"/>
      <x:c r="B9" s="58"/>
      <x:c r="C9" s="58"/>
      <x:c r="D9" s="58"/>
      <x:c r="E9" s="58"/>
      <x:c r="F9" s="58"/>
      <x:c r="G9" s="58"/>
      <x:c r="H9" s="58"/>
      <x:c r="I9" s="58"/>
    </x:row>
    <x:row r="10">
      <x:c r="A10" s="58"/>
      <x:c r="B10" s="58"/>
      <x:c r="C10" s="58"/>
      <x:c r="D10" s="58"/>
      <x:c r="E10" s="58"/>
      <x:c r="F10" s="58"/>
      <x:c r="G10" s="58"/>
      <x:c r="H10" s="58"/>
      <x:c r="I10" s="58"/>
    </x:row>
    <x:row r="11">
      <x:c r="A11" s="58"/>
      <x:c r="B11" s="58"/>
      <x:c r="C11" s="58"/>
      <x:c r="D11" s="58"/>
      <x:c r="E11" s="58"/>
      <x:c r="F11" s="58"/>
      <x:c r="G11" s="58"/>
      <x:c r="H11" s="58"/>
      <x:c r="I11" s="58"/>
    </x:row>
    <x:row r="12">
      <x:c r="A12" s="58"/>
      <x:c r="B12" s="58"/>
      <x:c r="C12" s="58"/>
      <x:c r="D12" s="58"/>
      <x:c r="E12" s="58"/>
      <x:c r="F12" s="58"/>
      <x:c r="G12" s="58"/>
      <x:c r="H12" s="58"/>
      <x:c r="I12" s="58"/>
    </x:row>
  </x:sheetData>
  <x:mergeCells>
    <x:mergeCell ref="A1:I1"/>
    <x:mergeCell ref="A8:I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7E6E6"/>
  </x:sheetPr>
  <x:sheetViews>
    <x:sheetView showGridLines="0" workbookViewId="0"/>
  </x:sheetViews>
  <x:sheetFormatPr defaultRowHeight="15"/>
  <x:cols>
    <x:col min="1" max="1" width="38" hidden="0" customWidth="1"/>
    <x:col min="2" max="2" width="58" hidden="0" customWidth="1"/>
    <x:col min="3" max="3" width="28" hidden="0" customWidth="1"/>
    <x:col min="4" max="4" width="60" hidden="0" customWidth="1"/>
  </x:cols>
  <x:sheetData>
    <x:row r="1" ht="28" customHeight="1">
      <x:c r="A1" s="48" t="str">
        <x:v>Data sources and evidence</x:v>
      </x:c>
      <x:c r="B1" s="48" t="str">
        <x:v>Data sources and evidence</x:v>
      </x:c>
      <x:c r="C1" s="48" t="str">
        <x:v>Data sources and evidence</x:v>
      </x:c>
      <x:c r="D1" s="48" t="str">
        <x:v>Data sources and evidence</x:v>
      </x:c>
    </x:row>
    <x:row r="2">
      <x:c r="A2" s="34"/>
      <x:c r="B2" s="34"/>
      <x:c r="C2" s="34"/>
      <x:c r="D2" s="34"/>
    </x:row>
    <x:row r="3">
      <x:c r="A3" s="55" t="str">
        <x:v>Metric</x:v>
      </x:c>
      <x:c r="B3" s="55" t="str">
        <x:v>Source</x:v>
      </x:c>
      <x:c r="C3" s="55" t="str">
        <x:v>Evidence type</x:v>
      </x:c>
      <x:c r="D3" s="55" t="str">
        <x:v>Notes</x:v>
      </x:c>
    </x:row>
    <x:row r="4">
      <x:c r="A4" s="41" t="str">
        <x:v>Model accuracy, host latency, size</x:v>
      </x:c>
      <x:c r="B4" s="41" t="str">
        <x:v>part2/part2_results/performance_comparison.json</x:v>
      </x:c>
      <x:c r="C4" s="41" t="str">
        <x:v>Measured / estimated</x:v>
      </x:c>
      <x:c r="D4" s="41" t="str">
        <x:v>Accuracy, latency, and size measured; energy estimated</x:v>
      </x:c>
    </x:row>
    <x:row r="5">
      <x:c r="A5" s="41" t="str">
        <x:v>Platform analytical estimates</x:v>
      </x:c>
      <x:c r="B5" s="41" t="str">
        <x:v>part3/part3_results/analytical_estimates.json</x:v>
      </x:c>
      <x:c r="C5" s="41" t="str">
        <x:v>Analytical estimate</x:v>
      </x:c>
      <x:c r="D5" s="41" t="str">
        <x:v>Roofline-based latency, memory, and energy</x:v>
      </x:c>
    </x:row>
    <x:row r="6">
      <x:c r="A6" s="41" t="str">
        <x:v>Cortex-M memory and latency</x:v>
      </x:c>
      <x:c r="B6" s="41" t="str">
        <x:v>part3/part3_results/qemu_cortex_m.json</x:v>
      </x:c>
      <x:c r="C6" s="41" t="str">
        <x:v>QEMU measured simulation</x:v>
      </x:c>
      <x:c r="D6" s="41" t="str">
        <x:v>PTQ INT8 only; 5 runs; 10 ms clock resolution</x:v>
      </x:c>
    </x:row>
    <x:row r="7">
      <x:c r="A7" s="41" t="str">
        <x:v>WebGPU proxy latency</x:v>
      </x:c>
      <x:c r="B7" s="41" t="str">
        <x:v>part3/part3_results/webgpu_proxy.json</x:v>
      </x:c>
      <x:c r="C7" s="41" t="str">
        <x:v>Desktop proxy measurement</x:v>
      </x:c>
      <x:c r="D7" s="41" t="str">
        <x:v>Latency-only proxy; not a smartphone</x:v>
      </x:c>
    </x:row>
    <x:row r="8">
      <x:c r="A8" s="41" t="str">
        <x:v>Batch scaling</x:v>
      </x:c>
      <x:c r="B8" s="41" t="str">
        <x:v>part2/part2_results/performance_comparison.json</x:v>
      </x:c>
      <x:c r="C8" s="41" t="str">
        <x:v>Measured</x:v>
      </x:c>
      <x:c r="D8" s="41" t="str">
        <x:v>Batch sizes 1, 8, 16, 32, 64</x:v>
      </x:c>
    </x:row>
    <x:row r="9">
      <x:c r="A9" s="41" t="str">
        <x:v>Hardware utilization</x:v>
      </x:c>
      <x:c r="B9" s="41" t="str">
        <x:v>part4/part4_results/hardware_utilization.json</x:v>
      </x:c>
      <x:c r="C9" s="41" t="str">
        <x:v>Derived analytical metrics</x:v>
      </x:c>
      <x:c r="D9" s="41" t="str">
        <x:v>Cache values are capacity proxies, not hit rates</x:v>
      </x:c>
    </x:row>
    <x:row r="10">
      <x:c r="A10" s="41" t="str">
        <x:v>Design cases</x:v>
      </x:c>
      <x:c r="B10" s="41" t="str">
        <x:v>part4/part4_results/design_cases.json</x:v>
      </x:c>
      <x:c r="C10" s="41" t="str">
        <x:v>Constraint analysis</x:v>
      </x:c>
      <x:c r="D10" s="41" t="str">
        <x:v>Mobile and strict Cortex-M scenarios</x:v>
      </x:c>
    </x:row>
  </x:sheetData>
  <x:mergeCells>
    <x:mergeCell ref="A1:D1"/>
  </x:mergeCells>
  <x:pageMargins left="0.7" right="0.7" top="0.75" bottom="0.75" header="0.3" footer="0.3"/>
</x:worksheet>
</file>