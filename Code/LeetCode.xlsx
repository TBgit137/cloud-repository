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work\cloud-repository\Code\"/>
    </mc:Choice>
  </mc:AlternateContent>
  <xr:revisionPtr revIDLastSave="0" documentId="13_ncr:1_{0837BAE1-0448-4015-A012-7D00A0CA691B}" xr6:coauthVersionLast="47" xr6:coauthVersionMax="47" xr10:uidLastSave="{00000000-0000-0000-0000-000000000000}"/>
  <bookViews>
    <workbookView xWindow="3075" yWindow="3075" windowWidth="28800" windowHeight="15345" activeTab="1" xr2:uid="{00000000-000D-0000-FFFF-FFFF00000000}"/>
  </bookViews>
  <sheets>
    <sheet name="学习总览" sheetId="1" r:id="rId1"/>
    <sheet name="Easy题单" sheetId="2" r:id="rId2"/>
    <sheet name="Medium进阶" sheetId="3" r:id="rId3"/>
    <sheet name="使用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D19" i="1"/>
  <c r="F19" i="1" s="1"/>
  <c r="C19" i="1"/>
  <c r="E18" i="1"/>
  <c r="D18" i="1"/>
  <c r="F18" i="1" s="1"/>
  <c r="C18" i="1"/>
  <c r="E17" i="1"/>
  <c r="D17" i="1"/>
  <c r="F17" i="1" s="1"/>
  <c r="C17" i="1"/>
  <c r="E16" i="1"/>
  <c r="D16" i="1"/>
  <c r="F16" i="1" s="1"/>
  <c r="C16" i="1"/>
  <c r="E15" i="1"/>
  <c r="D15" i="1"/>
  <c r="F15" i="1" s="1"/>
  <c r="C15" i="1"/>
  <c r="E14" i="1"/>
  <c r="D14" i="1"/>
  <c r="C14" i="1"/>
  <c r="F14" i="1" s="1"/>
  <c r="E13" i="1"/>
  <c r="D13" i="1"/>
  <c r="F13" i="1" s="1"/>
  <c r="C13" i="1"/>
  <c r="E12" i="1"/>
  <c r="D12" i="1"/>
  <c r="F12" i="1" s="1"/>
  <c r="C12" i="1"/>
  <c r="E11" i="1"/>
  <c r="D11" i="1"/>
  <c r="F11" i="1" s="1"/>
  <c r="C11" i="1"/>
  <c r="E10" i="1"/>
  <c r="D10" i="1"/>
  <c r="F10" i="1" s="1"/>
  <c r="C10" i="1"/>
  <c r="E9" i="1"/>
  <c r="D9" i="1"/>
  <c r="F9" i="1" s="1"/>
  <c r="C9" i="1"/>
  <c r="E8" i="1"/>
  <c r="D8" i="1"/>
  <c r="C8" i="1"/>
  <c r="C20" i="1" s="1"/>
  <c r="E20" i="1" l="1"/>
  <c r="D20" i="1"/>
  <c r="F20" i="1" s="1"/>
  <c r="F8" i="1"/>
</calcChain>
</file>

<file path=xl/sharedStrings.xml><?xml version="1.0" encoding="utf-8"?>
<sst xmlns="http://schemas.openxmlformats.org/spreadsheetml/2006/main" count="1831" uniqueCount="876">
  <si>
    <t>数据结构 × 算法模式  |  我的 LeetCode 学习地图</t>
  </si>
  <si>
    <t>建议先每个专题完成 5～8 道核心题，再补齐专题练习；独立思考、复盘、间隔重做，比追求刷题总量更重要。</t>
  </si>
  <si>
    <t>第一阶段 · Easy</t>
  </si>
  <si>
    <t>顺序</t>
  </si>
  <si>
    <t>专题</t>
  </si>
  <si>
    <t>收录题数</t>
  </si>
  <si>
    <t>已完成</t>
  </si>
  <si>
    <t>进行中</t>
  </si>
  <si>
    <t>完成率</t>
  </si>
  <si>
    <t>本专题要建立的能力</t>
  </si>
  <si>
    <t>建议节奏</t>
  </si>
  <si>
    <t>01 数组与基础模拟</t>
  </si>
  <si>
    <t>索引、遍历、原地修改、模拟</t>
  </si>
  <si>
    <t>建议先选 8 道</t>
  </si>
  <si>
    <t>02 字符串操作</t>
  </si>
  <si>
    <t>切片、字符处理、比较和解析</t>
  </si>
  <si>
    <t>建议先选 7 道</t>
  </si>
  <si>
    <t>03 哈希表与集合</t>
  </si>
  <si>
    <t>集合查重、频次、键值映射</t>
  </si>
  <si>
    <t>04 双指针与排序</t>
  </si>
  <si>
    <t>快慢指针、排序后处理</t>
  </si>
  <si>
    <t>05 二分查找</t>
  </si>
  <si>
    <t>闭区间/半开区间与单调性</t>
  </si>
  <si>
    <t>12 道即可，重视边界</t>
  </si>
  <si>
    <t>06 单向链表</t>
  </si>
  <si>
    <t>节点引用、dummy、快慢指针</t>
  </si>
  <si>
    <t>10 道经典，建议全做</t>
  </si>
  <si>
    <t>07 栈与队列</t>
  </si>
  <si>
    <t>LIFO/FIFO、单调栈、结构设计</t>
  </si>
  <si>
    <t>先做 8 道</t>
  </si>
  <si>
    <t>08 二叉树与 BST</t>
  </si>
  <si>
    <t>DFS/BFS、递归、BST 性质</t>
  </si>
  <si>
    <t>先做遍历和深度题</t>
  </si>
  <si>
    <t>09 矩阵与图的初步</t>
  </si>
  <si>
    <t>二维索引、网格遍历、图连通</t>
  </si>
  <si>
    <t>图题作为后半段</t>
  </si>
  <si>
    <t>10 前缀和·贪心·DP</t>
  </si>
  <si>
    <t>前缀、固定窗口、贪心、DP</t>
  </si>
  <si>
    <t>优先理解状态变化</t>
  </si>
  <si>
    <t>11 数学与位运算</t>
  </si>
  <si>
    <t>数值模拟、二进制、异或</t>
  </si>
  <si>
    <t>重点在位运算性质</t>
  </si>
  <si>
    <t>12 高级结构起步</t>
  </si>
  <si>
    <t>堆、优先队列、设计类</t>
  </si>
  <si>
    <t>体验即可，随后转 Medium</t>
  </si>
  <si>
    <t>Easy 总计</t>
  </si>
  <si>
    <t>第二阶段 · Medium 过渡（28 道，不计入上方完成率）</t>
  </si>
  <si>
    <t>三组依次进行：数组/字符串/哈希 → 链表/栈/树 → 图/高级结构/动态规划。详见「Medium进阶」。</t>
  </si>
  <si>
    <t>LeetCode · Easy 系统化学习题单  |  按数据结构与算法技巧排序</t>
  </si>
  <si>
    <t>按表格顺序学习；完成一题后修改「学习状态」，记录自己的思路与复杂度。每题独立归入一个主专题，不重复计数。</t>
  </si>
  <si>
    <t>阶段</t>
  </si>
  <si>
    <t>题号</t>
  </si>
  <si>
    <t>中文题名</t>
  </si>
  <si>
    <t>核心训练点</t>
  </si>
  <si>
    <t>难度</t>
  </si>
  <si>
    <t>学习状态</t>
  </si>
  <si>
    <t>已接触</t>
  </si>
  <si>
    <t>力扣题目链接</t>
  </si>
  <si>
    <t>复盘笔记</t>
  </si>
  <si>
    <t>Easy</t>
  </si>
  <si>
    <t>基于排列构建数组</t>
  </si>
  <si>
    <t>索引映射</t>
  </si>
  <si>
    <t>简单</t>
  </si>
  <si>
    <t>未开始</t>
  </si>
  <si>
    <t>https://leetcode.cn/problems/build-array-from-permutation/</t>
  </si>
  <si>
    <t>数组串联</t>
  </si>
  <si>
    <t>列表拼接</t>
  </si>
  <si>
    <t>https://leetcode.cn/problems/concatenation-of-array/</t>
  </si>
  <si>
    <t>重新排列数组</t>
  </si>
  <si>
    <t>交错访问</t>
  </si>
  <si>
    <t>https://leetcode.cn/problems/shuffle-the-array/</t>
  </si>
  <si>
    <t>统计位数为偶数的数字</t>
  </si>
  <si>
    <t>逐元素判断</t>
  </si>
  <si>
    <t>https://leetcode.cn/problems/find-numbers-with-even-number-of-digits/</t>
  </si>
  <si>
    <t>最大连续 1 的个数</t>
  </si>
  <si>
    <t>连续计数</t>
  </si>
  <si>
    <t>https://leetcode.cn/problems/max-consecutive-ones/</t>
  </si>
  <si>
    <t>加一</t>
  </si>
  <si>
    <t>进位处理</t>
  </si>
  <si>
    <t>https://leetcode.cn/problems/plus-one/</t>
  </si>
  <si>
    <t>有多少小于当前数字的数字</t>
  </si>
  <si>
    <t>计数与枚举</t>
  </si>
  <si>
    <t>https://leetcode.cn/problems/how-many-numbers-are-smaller-than-the-current-number/</t>
  </si>
  <si>
    <t>拥有最多糖果的孩子</t>
  </si>
  <si>
    <t>遍历与最大值</t>
  </si>
  <si>
    <t>https://leetcode.cn/problems/kids-with-the-greatest-number-of-candies/</t>
  </si>
  <si>
    <t>好数对的数目</t>
  </si>
  <si>
    <t>两层循环与计数</t>
  </si>
  <si>
    <t>https://leetcode.cn/problems/number-of-good-pairs/</t>
  </si>
  <si>
    <t>唯一元素的和</t>
  </si>
  <si>
    <t>频率统计</t>
  </si>
  <si>
    <t>https://leetcode.cn/problems/sum-of-unique-elements/</t>
  </si>
  <si>
    <t>按既定顺序创建目标数组</t>
  </si>
  <si>
    <t>列表插入</t>
  </si>
  <si>
    <t>https://leetcode.cn/problems/create-target-array-in-the-given-order/</t>
  </si>
  <si>
    <t>解压缩编码列表</t>
  </si>
  <si>
    <t>扩展序列</t>
  </si>
  <si>
    <t>https://leetcode.cn/problems/decompress-run-length-encoded-list/</t>
  </si>
  <si>
    <t>数组形式的整数加法</t>
  </si>
  <si>
    <t>按位进位</t>
  </si>
  <si>
    <t>https://leetcode.cn/problems/add-to-array-form-of-integer/</t>
  </si>
  <si>
    <t>执行操作后的变量值</t>
  </si>
  <si>
    <t>指令模拟</t>
  </si>
  <si>
    <t>https://leetcode.cn/problems/final-value-of-variable-after-performing-operations/</t>
  </si>
  <si>
    <t>数组元素积的符号</t>
  </si>
  <si>
    <t>符号规律</t>
  </si>
  <si>
    <t>https://leetcode.cn/problems/sign-of-the-product-of-an-array/</t>
  </si>
  <si>
    <t>杨辉三角</t>
  </si>
  <si>
    <t>逐层构建</t>
  </si>
  <si>
    <t>https://leetcode.cn/problems/pascals-triangle/</t>
  </si>
  <si>
    <t>杨辉三角 II</t>
  </si>
  <si>
    <t>滚动状态</t>
  </si>
  <si>
    <t>https://leetcode.cn/problems/pascals-triangle-ii/</t>
  </si>
  <si>
    <t>第三大的数</t>
  </si>
  <si>
    <t>维护多个最值</t>
  </si>
  <si>
    <t>https://leetcode.cn/problems/third-maximum-number/</t>
  </si>
  <si>
    <t>找到所有数组中消失的数字</t>
  </si>
  <si>
    <t>原地标记</t>
  </si>
  <si>
    <t>https://leetcode.cn/problems/find-all-numbers-disappeared-in-an-array/</t>
  </si>
  <si>
    <t>提莫攻击</t>
  </si>
  <si>
    <t>区间持续时间</t>
  </si>
  <si>
    <t>https://leetcode.cn/problems/teemo-attacking/</t>
  </si>
  <si>
    <t>访问所有点的最小时间</t>
  </si>
  <si>
    <t>坐标模拟</t>
  </si>
  <si>
    <t>https://leetcode.cn/problems/minimum-time-visiting-all-points/</t>
  </si>
  <si>
    <t>数组中紧跟 key 之后出现最频繁的数字</t>
  </si>
  <si>
    <t>相邻频次</t>
  </si>
  <si>
    <t>https://leetcode.cn/problems/most-frequent-number-following-key-in-an-array/</t>
  </si>
  <si>
    <t>最长公共前缀</t>
  </si>
  <si>
    <t>前缀逐步收缩</t>
  </si>
  <si>
    <t>曾讨论</t>
  </si>
  <si>
    <t>https://leetcode.cn/problems/longest-common-prefix/</t>
  </si>
  <si>
    <t>最后一个单词的长度</t>
  </si>
  <si>
    <t>字符串扫描</t>
  </si>
  <si>
    <t>https://leetcode.cn/problems/length-of-last-word/</t>
  </si>
  <si>
    <t>验证回文串</t>
  </si>
  <si>
    <t>过滤与回文</t>
  </si>
  <si>
    <t>https://leetcode.cn/problems/valid-palindrome/</t>
  </si>
  <si>
    <t>反转字符串</t>
  </si>
  <si>
    <t>原地交换</t>
  </si>
  <si>
    <t>https://leetcode.cn/problems/reverse-string/</t>
  </si>
  <si>
    <t>反转字符串中的元音字母</t>
  </si>
  <si>
    <t>条件交换</t>
  </si>
  <si>
    <t>https://leetcode.cn/problems/reverse-vowels-of-a-string/</t>
  </si>
  <si>
    <t>字符串中的单词数</t>
  </si>
  <si>
    <t>空白处理</t>
  </si>
  <si>
    <t>https://leetcode.cn/problems/number-of-segments-in-a-string/</t>
  </si>
  <si>
    <t>重复的子字符串</t>
  </si>
  <si>
    <t>周期检测</t>
  </si>
  <si>
    <t>https://leetcode.cn/problems/repeated-substring-pattern/</t>
  </si>
  <si>
    <t>检测大写字母</t>
  </si>
  <si>
    <t>大小写规则</t>
  </si>
  <si>
    <t>https://leetcode.cn/problems/detect-capital/</t>
  </si>
  <si>
    <t>反转字符串 II</t>
  </si>
  <si>
    <t>分块处理</t>
  </si>
  <si>
    <t>https://leetcode.cn/problems/reverse-string-ii/</t>
  </si>
  <si>
    <t>反转字符串中的单词 III</t>
  </si>
  <si>
    <t>分词与反转</t>
  </si>
  <si>
    <t>https://leetcode.cn/problems/reverse-words-in-a-string-iii/</t>
  </si>
  <si>
    <t>机器人能否返回原点</t>
  </si>
  <si>
    <t>指令字符统计</t>
  </si>
  <si>
    <t>https://leetcode.cn/problems/robot-return-to-origin/</t>
  </si>
  <si>
    <t>转换成小写字母</t>
  </si>
  <si>
    <t>字符转换</t>
  </si>
  <si>
    <t>https://leetcode.cn/problems/to-lower-case/</t>
  </si>
  <si>
    <t>旋转字符串</t>
  </si>
  <si>
    <t>旋转与拼接</t>
  </si>
  <si>
    <t>https://leetcode.cn/problems/rotate-string/</t>
  </si>
  <si>
    <t>山羊拉丁文</t>
  </si>
  <si>
    <t>多规则拼接</t>
  </si>
  <si>
    <t>https://leetcode.cn/problems/goat-latin/</t>
  </si>
  <si>
    <t>亲密字符串</t>
  </si>
  <si>
    <t>错误位置匹配</t>
  </si>
  <si>
    <t>https://leetcode.cn/problems/buddy-strings/</t>
  </si>
  <si>
    <t>IP 地址无效化</t>
  </si>
  <si>
    <t>替换操作</t>
  </si>
  <si>
    <t>https://leetcode.cn/problems/defanging-an-ip-address/</t>
  </si>
  <si>
    <t>解码字母到整数映射</t>
  </si>
  <si>
    <t>逆向解析</t>
  </si>
  <si>
    <t>https://leetcode.cn/problems/decrypt-string-from-alphabet-to-integer-mapping/</t>
  </si>
  <si>
    <t>交替合并字符串</t>
  </si>
  <si>
    <t>双串交替</t>
  </si>
  <si>
    <t>https://leetcode.cn/problems/merge-strings-alternately/</t>
  </si>
  <si>
    <t>仅执行一次字符串交换能否使两个字符串相等</t>
  </si>
  <si>
    <t>差异位置</t>
  </si>
  <si>
    <t>https://leetcode.cn/problems/check-if-one-string-swap-can-make-strings-equal/</t>
  </si>
  <si>
    <t>字符串的最大公因子</t>
  </si>
  <si>
    <t>字符串周期与 GCD</t>
  </si>
  <si>
    <t>https://leetcode.cn/problems/greatest-common-divisor-of-strings/</t>
  </si>
  <si>
    <t>将句子排序</t>
  </si>
  <si>
    <t>排序与解析</t>
  </si>
  <si>
    <t>https://leetcode.cn/problems/sorting-the-sentence/</t>
  </si>
  <si>
    <t>反转单词前缀</t>
  </si>
  <si>
    <t>切片与定位</t>
  </si>
  <si>
    <t>https://leetcode.cn/problems/reverse-prefix-of-word/</t>
  </si>
  <si>
    <t>两数之和</t>
  </si>
  <si>
    <t>补数查找</t>
  </si>
  <si>
    <t>https://leetcode.cn/problems/two-sum/</t>
  </si>
  <si>
    <t>存在重复元素</t>
  </si>
  <si>
    <t>集合去重</t>
  </si>
  <si>
    <t>https://leetcode.cn/problems/contains-duplicate/</t>
  </si>
  <si>
    <t>存在重复元素 II</t>
  </si>
  <si>
    <t>索引记录</t>
  </si>
  <si>
    <t>https://leetcode.cn/problems/contains-duplicate-ii/</t>
  </si>
  <si>
    <t>有效的字母异位词</t>
  </si>
  <si>
    <t>字符计数</t>
  </si>
  <si>
    <t>https://leetcode.cn/problems/valid-anagram/</t>
  </si>
  <si>
    <t>赎金信</t>
  </si>
  <si>
    <t>计数字典</t>
  </si>
  <si>
    <t>https://leetcode.cn/problems/ransom-note/</t>
  </si>
  <si>
    <t>字符串中的第一个唯一字符</t>
  </si>
  <si>
    <t>次数与原顺序</t>
  </si>
  <si>
    <t>https://leetcode.cn/problems/first-unique-character-in-a-string/</t>
  </si>
  <si>
    <t>找不同</t>
  </si>
  <si>
    <t>计数或异或</t>
  </si>
  <si>
    <t>https://leetcode.cn/problems/find-the-difference/</t>
  </si>
  <si>
    <t>同构字符串</t>
  </si>
  <si>
    <t>双向映射</t>
  </si>
  <si>
    <t>https://leetcode.cn/problems/isomorphic-strings/</t>
  </si>
  <si>
    <t>单词规律</t>
  </si>
  <si>
    <t>映射一致性</t>
  </si>
  <si>
    <t>https://leetcode.cn/problems/word-pattern/</t>
  </si>
  <si>
    <t>两个数组的交集</t>
  </si>
  <si>
    <t>集合交集</t>
  </si>
  <si>
    <t>https://leetcode.cn/problems/intersection-of-two-arrays/</t>
  </si>
  <si>
    <t>两个数组的交集 II</t>
  </si>
  <si>
    <t>频次交集</t>
  </si>
  <si>
    <t>https://leetcode.cn/problems/intersection-of-two-arrays-ii/</t>
  </si>
  <si>
    <t>快乐数</t>
  </si>
  <si>
    <t>循环检测</t>
  </si>
  <si>
    <t>https://leetcode.cn/problems/happy-number/</t>
  </si>
  <si>
    <t>最长回文串</t>
  </si>
  <si>
    <t>奇偶频次</t>
  </si>
  <si>
    <t>https://leetcode.cn/problems/longest-palindrome/</t>
  </si>
  <si>
    <t>键盘行</t>
  </si>
  <si>
    <t>集合包含</t>
  </si>
  <si>
    <t>https://leetcode.cn/problems/keyboard-row/</t>
  </si>
  <si>
    <t>分糖果</t>
  </si>
  <si>
    <t>不同元素计数</t>
  </si>
  <si>
    <t>https://leetcode.cn/problems/distribute-candies/</t>
  </si>
  <si>
    <t>最长和谐子序列</t>
  </si>
  <si>
    <t>https://leetcode.cn/problems/longest-harmonious-subsequence/</t>
  </si>
  <si>
    <t>错误的集合</t>
  </si>
  <si>
    <t>缺失与重复</t>
  </si>
  <si>
    <t>https://leetcode.cn/problems/set-mismatch/</t>
  </si>
  <si>
    <t>数组的度</t>
  </si>
  <si>
    <t>频率与跨度</t>
  </si>
  <si>
    <t>https://leetcode.cn/problems/degree-of-an-array/</t>
  </si>
  <si>
    <t>两句话中的不常见单词</t>
  </si>
  <si>
    <t>词频统计</t>
  </si>
  <si>
    <t>https://leetcode.cn/problems/uncommon-words-from-two-sentences/</t>
  </si>
  <si>
    <t>查找共用字符</t>
  </si>
  <si>
    <t>多字符串计数交集</t>
  </si>
  <si>
    <t>https://leetcode.cn/problems/find-common-characters/</t>
  </si>
  <si>
    <t>独一无二的出现次数</t>
  </si>
  <si>
    <t>频次数组去重</t>
  </si>
  <si>
    <t>https://leetcode.cn/problems/unique-number-of-occurrences/</t>
  </si>
  <si>
    <t>找出两数组的不同</t>
  </si>
  <si>
    <t>集合差集</t>
  </si>
  <si>
    <t>https://leetcode.cn/problems/find-the-difference-of-two-arrays/</t>
  </si>
  <si>
    <t>删除有序数组中的重复项</t>
  </si>
  <si>
    <t>快慢指针</t>
  </si>
  <si>
    <t>https://leetcode.cn/problems/remove-duplicates-from-sorted-array/</t>
  </si>
  <si>
    <t>移除元素</t>
  </si>
  <si>
    <t>原地覆盖</t>
  </si>
  <si>
    <t>https://leetcode.cn/problems/remove-element/</t>
  </si>
  <si>
    <t>合并两个有序数组</t>
  </si>
  <si>
    <t>从尾部合并</t>
  </si>
  <si>
    <t>https://leetcode.cn/problems/merge-sorted-array/</t>
  </si>
  <si>
    <t>移动零</t>
  </si>
  <si>
    <t>非零聚集</t>
  </si>
  <si>
    <t>https://leetcode.cn/problems/move-zeroes/</t>
  </si>
  <si>
    <t>有序数组的平方</t>
  </si>
  <si>
    <t>左右两端比较</t>
  </si>
  <si>
    <t>https://leetcode.cn/problems/squares-of-a-sorted-array/</t>
  </si>
  <si>
    <t>按奇偶排序数组</t>
  </si>
  <si>
    <t>分区指针</t>
  </si>
  <si>
    <t>https://leetcode.cn/problems/sort-array-by-parity/</t>
  </si>
  <si>
    <t>按奇偶排序数组 II</t>
  </si>
  <si>
    <t>按位置交换</t>
  </si>
  <si>
    <t>https://leetcode.cn/problems/sort-array-by-parity-ii/</t>
  </si>
  <si>
    <t>仅仅反转字母</t>
  </si>
  <si>
    <t>跳过无效字符</t>
  </si>
  <si>
    <t>https://leetcode.cn/problems/reverse-only-letters/</t>
  </si>
  <si>
    <t>比较含退格的字符串</t>
  </si>
  <si>
    <t>逆向扫描</t>
  </si>
  <si>
    <t>https://leetcode.cn/problems/backspace-string-compare/</t>
  </si>
  <si>
    <t>判断子序列</t>
  </si>
  <si>
    <t>两个位置指针</t>
  </si>
  <si>
    <t>https://leetcode.cn/problems/is-subsequence/</t>
  </si>
  <si>
    <t>验证回文串 II</t>
  </si>
  <si>
    <t>容错双指针</t>
  </si>
  <si>
    <t>https://leetcode.cn/problems/valid-palindrome-ii/</t>
  </si>
  <si>
    <t>复写零</t>
  </si>
  <si>
    <t>原地移动</t>
  </si>
  <si>
    <t>https://leetcode.cn/problems/duplicate-zeros/</t>
  </si>
  <si>
    <t>分发饼干</t>
  </si>
  <si>
    <t>排序与贪心</t>
  </si>
  <si>
    <t>https://leetcode.cn/problems/assign-cookies/</t>
  </si>
  <si>
    <t>数组拆分</t>
  </si>
  <si>
    <t>排序取值</t>
  </si>
  <si>
    <t>https://leetcode.cn/problems/array-partition/</t>
  </si>
  <si>
    <t>相对名次</t>
  </si>
  <si>
    <t>排序映射</t>
  </si>
  <si>
    <t>https://leetcode.cn/problems/relative-ranks/</t>
  </si>
  <si>
    <t>三个数的最大乘积</t>
  </si>
  <si>
    <t>排序极值</t>
  </si>
  <si>
    <t>https://leetcode.cn/problems/maximum-product-of-three-numbers/</t>
  </si>
  <si>
    <t>三角形的最大周长</t>
  </si>
  <si>
    <t>排序与可行性</t>
  </si>
  <si>
    <t>https://leetcode.cn/problems/largest-perimeter-triangle/</t>
  </si>
  <si>
    <t>高度检查器</t>
  </si>
  <si>
    <t>排序对比</t>
  </si>
  <si>
    <t>https://leetcode.cn/problems/height-checker/</t>
  </si>
  <si>
    <t>数组的相对排序</t>
  </si>
  <si>
    <t>自定义顺序</t>
  </si>
  <si>
    <t>https://leetcode.cn/problems/relative-sort-array/</t>
  </si>
  <si>
    <t>通过翻转子数组使两个数组相等</t>
  </si>
  <si>
    <t>多重集合比较</t>
  </si>
  <si>
    <t>https://leetcode.cn/problems/make-two-arrays-equal-by-reversing-subarrays/</t>
  </si>
  <si>
    <t>找出数组排序后的目标下标</t>
  </si>
  <si>
    <t>排序与范围</t>
  </si>
  <si>
    <t>https://leetcode.cn/problems/find-target-indices-after-sorting-array/</t>
  </si>
  <si>
    <t>按身高排序</t>
  </si>
  <si>
    <t>键值配对排序</t>
  </si>
  <si>
    <t>https://leetcode.cn/problems/sort-the-people/</t>
  </si>
  <si>
    <t>搜索插入位置</t>
  </si>
  <si>
    <t>边界二分</t>
  </si>
  <si>
    <t>https://leetcode.cn/problems/search-insert-position/</t>
  </si>
  <si>
    <t>二分查找</t>
  </si>
  <si>
    <t>标准模板</t>
  </si>
  <si>
    <t>https://leetcode.cn/problems/binary-search/</t>
  </si>
  <si>
    <t>x 的平方根</t>
  </si>
  <si>
    <t>答案二分</t>
  </si>
  <si>
    <t>https://leetcode.cn/problems/sqrtx/</t>
  </si>
  <si>
    <t>第一个错误的版本</t>
  </si>
  <si>
    <t>首次成立位置</t>
  </si>
  <si>
    <t>https://leetcode.cn/problems/first-bad-version/</t>
  </si>
  <si>
    <t>有效的完全平方数</t>
  </si>
  <si>
    <t>整数范围查找</t>
  </si>
  <si>
    <t>https://leetcode.cn/problems/valid-perfect-square/</t>
  </si>
  <si>
    <t>猜数字大小</t>
  </si>
  <si>
    <t>反馈式二分</t>
  </si>
  <si>
    <t>https://leetcode.cn/problems/guess-number-higher-or-lower/</t>
  </si>
  <si>
    <t>排列硬币</t>
  </si>
  <si>
    <t>单调性判断</t>
  </si>
  <si>
    <t>https://leetcode.cn/problems/arranging-coins/</t>
  </si>
  <si>
    <t>寻找比目标字母大的最小字母</t>
  </si>
  <si>
    <t>循环边界</t>
  </si>
  <si>
    <t>https://leetcode.cn/problems/find-smallest-letter-greater-than-target/</t>
  </si>
  <si>
    <t>两个数组间的距离值</t>
  </si>
  <si>
    <t>排序加查找</t>
  </si>
  <si>
    <t>https://leetcode.cn/problems/find-the-distance-value-between-two-arrays/</t>
  </si>
  <si>
    <t>第 k 个缺失的正整数</t>
  </si>
  <si>
    <t>缺失数量函数</t>
  </si>
  <si>
    <t>https://leetcode.cn/problems/kth-missing-positive-number/</t>
  </si>
  <si>
    <t>特殊数组的特征值</t>
  </si>
  <si>
    <t>答案枚举/二分</t>
  </si>
  <si>
    <t>https://leetcode.cn/problems/special-array-with-x-elements-greater-than-or-equal-x/</t>
  </si>
  <si>
    <t>正整数和负整数的最大计数</t>
  </si>
  <si>
    <t>边界统计</t>
  </si>
  <si>
    <t>https://leetcode.cn/problems/maximum-count-of-positive-integer-and-negative-integer/</t>
  </si>
  <si>
    <t>合并两个有序链表</t>
  </si>
  <si>
    <t>dummy 与双指针</t>
  </si>
  <si>
    <t>https://leetcode.cn/problems/merge-two-sorted-lists/</t>
  </si>
  <si>
    <t>删除排序链表中的重复元素</t>
  </si>
  <si>
    <t>原地删节点</t>
  </si>
  <si>
    <t>https://leetcode.cn/problems/remove-duplicates-from-sorted-list/</t>
  </si>
  <si>
    <t>环形链表</t>
  </si>
  <si>
    <t>https://leetcode.cn/problems/linked-list-cycle/</t>
  </si>
  <si>
    <t>相交链表</t>
  </si>
  <si>
    <t>双指针换头</t>
  </si>
  <si>
    <t>https://leetcode.cn/problems/intersection-of-two-linked-lists/</t>
  </si>
  <si>
    <t>移除链表元素</t>
  </si>
  <si>
    <t>虚拟头节点</t>
  </si>
  <si>
    <t>https://leetcode.cn/problems/remove-linked-list-elements/</t>
  </si>
  <si>
    <t>反转链表</t>
  </si>
  <si>
    <t>prev/curr/next</t>
  </si>
  <si>
    <t>https://leetcode.cn/problems/reverse-linked-list/</t>
  </si>
  <si>
    <t>回文链表</t>
  </si>
  <si>
    <t>找中点与反转</t>
  </si>
  <si>
    <t>https://leetcode.cn/problems/palindrome-linked-list/</t>
  </si>
  <si>
    <t>删除链表中的节点</t>
  </si>
  <si>
    <t>不提供头节点</t>
  </si>
  <si>
    <t>https://leetcode.cn/problems/delete-node-in-a-linked-list/</t>
  </si>
  <si>
    <t>链表的中间结点</t>
  </si>
  <si>
    <t>快慢指针找中点</t>
  </si>
  <si>
    <t>https://leetcode.cn/problems/middle-of-the-linked-list/</t>
  </si>
  <si>
    <t>二进制链表转整数</t>
  </si>
  <si>
    <t>遍历累积</t>
  </si>
  <si>
    <t>https://leetcode.cn/problems/convert-binary-number-in-a-linked-list-to-integer/</t>
  </si>
  <si>
    <t>有效的括号</t>
  </si>
  <si>
    <t>栈匹配</t>
  </si>
  <si>
    <t>https://leetcode.cn/problems/valid-parentheses/</t>
  </si>
  <si>
    <t>用队列实现栈</t>
  </si>
  <si>
    <t>结构互相模拟</t>
  </si>
  <si>
    <t>https://leetcode.cn/problems/implement-stack-using-queues/</t>
  </si>
  <si>
    <t>用栈实现队列</t>
  </si>
  <si>
    <t>双栈结构</t>
  </si>
  <si>
    <t>https://leetcode.cn/problems/implement-queue-using-stacks/</t>
  </si>
  <si>
    <t>下一个更大元素 I</t>
  </si>
  <si>
    <t>单调栈</t>
  </si>
  <si>
    <t>https://leetcode.cn/problems/next-greater-element-i/</t>
  </si>
  <si>
    <t>棒球比赛</t>
  </si>
  <si>
    <t>历史撤销</t>
  </si>
  <si>
    <t>https://leetcode.cn/problems/baseball-game/</t>
  </si>
  <si>
    <t>最近的请求次数</t>
  </si>
  <si>
    <t>滑动队列</t>
  </si>
  <si>
    <t>https://leetcode.cn/problems/number-of-recent-calls/</t>
  </si>
  <si>
    <t>删除字符串中的所有相邻重复项</t>
  </si>
  <si>
    <t>成对消除</t>
  </si>
  <si>
    <t>https://leetcode.cn/problems/remove-all-adjacent-duplicates-in-string/</t>
  </si>
  <si>
    <t>删除最外层的括号</t>
  </si>
  <si>
    <t>栈深度</t>
  </si>
  <si>
    <t>https://leetcode.cn/problems/remove-outermost-parentheses/</t>
  </si>
  <si>
    <t>整理字符串</t>
  </si>
  <si>
    <t>相邻抵消</t>
  </si>
  <si>
    <t>https://leetcode.cn/problems/make-the-string-great/</t>
  </si>
  <si>
    <t>文件夹操作日志搜集器</t>
  </si>
  <si>
    <t>目录深度</t>
  </si>
  <si>
    <t>https://leetcode.cn/problems/crawler-log-folder/</t>
  </si>
  <si>
    <t>无法吃午餐的学生数量</t>
  </si>
  <si>
    <t>队列模拟</t>
  </si>
  <si>
    <t>https://leetcode.cn/problems/number-of-students-unable-to-eat-lunch/</t>
  </si>
  <si>
    <t>买票需要的时间</t>
  </si>
  <si>
    <t>排队过程</t>
  </si>
  <si>
    <t>https://leetcode.cn/problems/time-needed-to-buy-tickets/</t>
  </si>
  <si>
    <t>括号的最大嵌套深度</t>
  </si>
  <si>
    <t>深度计数</t>
  </si>
  <si>
    <t>https://leetcode.cn/problems/maximum-nesting-depth-of-the-parentheses/</t>
  </si>
  <si>
    <t>删除子串后的字符串最小长度</t>
  </si>
  <si>
    <t>消除规则</t>
  </si>
  <si>
    <t>https://leetcode.cn/problems/minimum-string-length-after-removing-substrings/</t>
  </si>
  <si>
    <t>商品折扣后的最终价格</t>
  </si>
  <si>
    <t>单调栈初步</t>
  </si>
  <si>
    <t>https://leetcode.cn/problems/final-prices-with-a-special-discount-in-a-shop/</t>
  </si>
  <si>
    <t>二叉树的中序遍历</t>
  </si>
  <si>
    <t>中序 DFS</t>
  </si>
  <si>
    <t>https://leetcode.cn/problems/binary-tree-inorder-traversal/</t>
  </si>
  <si>
    <t>二叉树的前序遍历</t>
  </si>
  <si>
    <t>前序 DFS</t>
  </si>
  <si>
    <t>https://leetcode.cn/problems/binary-tree-preorder-traversal/</t>
  </si>
  <si>
    <t>二叉树的后序遍历</t>
  </si>
  <si>
    <t>后序 DFS</t>
  </si>
  <si>
    <t>https://leetcode.cn/problems/binary-tree-postorder-traversal/</t>
  </si>
  <si>
    <t>相同的树</t>
  </si>
  <si>
    <t>双树递归</t>
  </si>
  <si>
    <t>https://leetcode.cn/problems/same-tree/</t>
  </si>
  <si>
    <t>对称二叉树</t>
  </si>
  <si>
    <t>镜像递归</t>
  </si>
  <si>
    <t>https://leetcode.cn/problems/symmetric-tree/</t>
  </si>
  <si>
    <t>二叉树的最大深度</t>
  </si>
  <si>
    <t>递归深度</t>
  </si>
  <si>
    <t>https://leetcode.cn/problems/maximum-depth-of-binary-tree/</t>
  </si>
  <si>
    <t>二叉树的最小深度</t>
  </si>
  <si>
    <t>最浅叶节点</t>
  </si>
  <si>
    <t>https://leetcode.cn/problems/minimum-depth-of-binary-tree/</t>
  </si>
  <si>
    <t>路径总和</t>
  </si>
  <si>
    <t>路径状态</t>
  </si>
  <si>
    <t>https://leetcode.cn/problems/path-sum/</t>
  </si>
  <si>
    <t>平衡二叉树</t>
  </si>
  <si>
    <t>高度自底向上</t>
  </si>
  <si>
    <t>https://leetcode.cn/problems/balanced-binary-tree/</t>
  </si>
  <si>
    <t>翻转二叉树</t>
  </si>
  <si>
    <t>交换子树</t>
  </si>
  <si>
    <t>https://leetcode.cn/problems/invert-binary-tree/</t>
  </si>
  <si>
    <t>二叉树的所有路径</t>
  </si>
  <si>
    <t>路径回溯</t>
  </si>
  <si>
    <t>https://leetcode.cn/problems/binary-tree-paths/</t>
  </si>
  <si>
    <t>左叶子之和</t>
  </si>
  <si>
    <t>识别特殊叶子</t>
  </si>
  <si>
    <t>https://leetcode.cn/problems/sum-of-left-leaves/</t>
  </si>
  <si>
    <t>二叉树的直径</t>
  </si>
  <si>
    <t>高度与路径</t>
  </si>
  <si>
    <t>https://leetcode.cn/problems/diameter-of-binary-tree/</t>
  </si>
  <si>
    <t>另一棵树的子树</t>
  </si>
  <si>
    <t>树匹配</t>
  </si>
  <si>
    <t>https://leetcode.cn/problems/subtree-of-another-tree/</t>
  </si>
  <si>
    <t>合并二叉树</t>
  </si>
  <si>
    <t>递归合并</t>
  </si>
  <si>
    <t>https://leetcode.cn/problems/merge-two-binary-trees/</t>
  </si>
  <si>
    <t>二叉树的层平均值</t>
  </si>
  <si>
    <t>层序 BFS</t>
  </si>
  <si>
    <t>https://leetcode.cn/problems/average-of-levels-in-binary-tree/</t>
  </si>
  <si>
    <t>叶子相似的树</t>
  </si>
  <si>
    <t>收集叶节点</t>
  </si>
  <si>
    <t>https://leetcode.cn/problems/leaf-similar-trees/</t>
  </si>
  <si>
    <t>将有序数组转换为二叉搜索树</t>
  </si>
  <si>
    <t>分治建树</t>
  </si>
  <si>
    <t>https://leetcode.cn/problems/convert-sorted-array-to-binary-search-tree/</t>
  </si>
  <si>
    <t>二叉搜索树中的搜索</t>
  </si>
  <si>
    <t>BST 查找</t>
  </si>
  <si>
    <t>https://leetcode.cn/problems/search-in-a-binary-search-tree/</t>
  </si>
  <si>
    <t>二叉搜索树的最近公共祖先</t>
  </si>
  <si>
    <t>利用有序性</t>
  </si>
  <si>
    <t>https://leetcode.cn/problems/lowest-common-ancestor-of-a-binary-search-tree/</t>
  </si>
  <si>
    <t>二叉搜索树的最小绝对差</t>
  </si>
  <si>
    <t>中序有序</t>
  </si>
  <si>
    <t>https://leetcode.cn/problems/minimum-absolute-difference-in-bst/</t>
  </si>
  <si>
    <t>二叉搜索树中的众数</t>
  </si>
  <si>
    <t>中序计数</t>
  </si>
  <si>
    <t>https://leetcode.cn/problems/find-mode-in-binary-search-tree/</t>
  </si>
  <si>
    <t>两数之和 IV - 输入二叉搜索树</t>
  </si>
  <si>
    <t>BST 与集合</t>
  </si>
  <si>
    <t>https://leetcode.cn/problems/two-sum-iv-input-is-a-bst/</t>
  </si>
  <si>
    <t>二叉搜索树的范围和</t>
  </si>
  <si>
    <t>搜索剪枝</t>
  </si>
  <si>
    <t>https://leetcode.cn/problems/range-sum-of-bst/</t>
  </si>
  <si>
    <t>N 叉树的前序遍历</t>
  </si>
  <si>
    <t>多叉 DFS</t>
  </si>
  <si>
    <t>https://leetcode.cn/problems/n-ary-tree-preorder-traversal/</t>
  </si>
  <si>
    <t>N 叉树的后序遍历</t>
  </si>
  <si>
    <t>https://leetcode.cn/problems/n-ary-tree-postorder-traversal/</t>
  </si>
  <si>
    <t>重塑矩阵</t>
  </si>
  <si>
    <t>二维索引转换</t>
  </si>
  <si>
    <t>https://leetcode.cn/problems/reshape-the-matrix/</t>
  </si>
  <si>
    <t>图片平滑器</t>
  </si>
  <si>
    <t>邻域枚举</t>
  </si>
  <si>
    <t>https://leetcode.cn/problems/image-smoother/</t>
  </si>
  <si>
    <t>托普利茨矩阵</t>
  </si>
  <si>
    <t>相邻对角线</t>
  </si>
  <si>
    <t>https://leetcode.cn/problems/toeplitz-matrix/</t>
  </si>
  <si>
    <t>翻转图像</t>
  </si>
  <si>
    <t>行反转与取反</t>
  </si>
  <si>
    <t>https://leetcode.cn/problems/flipping-an-image/</t>
  </si>
  <si>
    <t>转置矩阵</t>
  </si>
  <si>
    <t>行列互换</t>
  </si>
  <si>
    <t>https://leetcode.cn/problems/transpose-matrix/</t>
  </si>
  <si>
    <t>可以被一步捕获的棋子数</t>
  </si>
  <si>
    <t>网格方向扫描</t>
  </si>
  <si>
    <t>https://leetcode.cn/problems/available-captures-for-rook/</t>
  </si>
  <si>
    <t>二维网格迁移</t>
  </si>
  <si>
    <t>坐标映射</t>
  </si>
  <si>
    <t>https://leetcode.cn/problems/shift-2d-grid/</t>
  </si>
  <si>
    <t>找出井字棋的获胜者</t>
  </si>
  <si>
    <t>棋盘模拟</t>
  </si>
  <si>
    <t>https://leetcode.cn/problems/find-winner-on-a-tic-tac-toe-game/</t>
  </si>
  <si>
    <t>矩阵中的幸运数</t>
  </si>
  <si>
    <t>行列极值</t>
  </si>
  <si>
    <t>https://leetcode.cn/problems/lucky-numbers-in-a-matrix/</t>
  </si>
  <si>
    <t>矩阵对角线元素的和</t>
  </si>
  <si>
    <t>双对角线</t>
  </si>
  <si>
    <t>https://leetcode.cn/problems/matrix-diagonal-sum/</t>
  </si>
  <si>
    <t>二进制矩阵中的特殊位置</t>
  </si>
  <si>
    <t>行列频次</t>
  </si>
  <si>
    <t>https://leetcode.cn/problems/special-positions-in-a-binary-matrix/</t>
  </si>
  <si>
    <t>最富有客户的资产总量</t>
  </si>
  <si>
    <t>二维遍历</t>
  </si>
  <si>
    <t>https://leetcode.cn/problems/richest-customer-wealth/</t>
  </si>
  <si>
    <t>将一维数组转变成二维数组</t>
  </si>
  <si>
    <t>二维构建</t>
  </si>
  <si>
    <t>https://leetcode.cn/problems/convert-1d-array-into-2d-array/</t>
  </si>
  <si>
    <t>判断矩阵是否是一个 X 矩阵</t>
  </si>
  <si>
    <t>位置约束</t>
  </si>
  <si>
    <t>https://leetcode.cn/problems/check-if-matrix-is-x-matrix/</t>
  </si>
  <si>
    <t>矩阵中的局部最大值</t>
  </si>
  <si>
    <t>局部窗口</t>
  </si>
  <si>
    <t>https://leetcode.cn/problems/largest-local-values-in-a-matrix/</t>
  </si>
  <si>
    <t>岛屿的周长</t>
  </si>
  <si>
    <t>网格相邻关系</t>
  </si>
  <si>
    <t>https://leetcode.cn/problems/island-perimeter/</t>
  </si>
  <si>
    <t>图像渲染</t>
  </si>
  <si>
    <t>网格 DFS/BFS</t>
  </si>
  <si>
    <t>https://leetcode.cn/problems/flood-fill/</t>
  </si>
  <si>
    <t>找到小镇的法官</t>
  </si>
  <si>
    <t>入度/出度</t>
  </si>
  <si>
    <t>https://leetcode.cn/problems/find-the-town-judge/</t>
  </si>
  <si>
    <t>找出星型图的中心节点</t>
  </si>
  <si>
    <t>中心节点特征</t>
  </si>
  <si>
    <t>https://leetcode.cn/problems/find-center-of-star-graph/</t>
  </si>
  <si>
    <t>寻找图中是否存在路径</t>
  </si>
  <si>
    <t>图搜索/并查集</t>
  </si>
  <si>
    <t>https://leetcode.cn/problems/find-if-path-exists-in-graph/</t>
  </si>
  <si>
    <t>一维数组的动态和</t>
  </si>
  <si>
    <t>前缀累积</t>
  </si>
  <si>
    <t>https://leetcode.cn/problems/running-sum-of-1d-array/</t>
  </si>
  <si>
    <t>寻找数组的中心下标</t>
  </si>
  <si>
    <t>前后和</t>
  </si>
  <si>
    <t>https://leetcode.cn/problems/find-pivot-index/</t>
  </si>
  <si>
    <t>找到最高海拔</t>
  </si>
  <si>
    <t>累积变化</t>
  </si>
  <si>
    <t>https://leetcode.cn/problems/find-the-highest-altitude/</t>
  </si>
  <si>
    <t>区域和检索 - 数组不可变</t>
  </si>
  <si>
    <t>前缀和预处理</t>
  </si>
  <si>
    <t>https://leetcode.cn/problems/range-sum-query-immutable/</t>
  </si>
  <si>
    <t>子数组最大平均数 I</t>
  </si>
  <si>
    <t>固定窗口</t>
  </si>
  <si>
    <t>https://leetcode.cn/problems/maximum-average-subarray-i/</t>
  </si>
  <si>
    <t>长度为三且各字符不同的子字符串</t>
  </si>
  <si>
    <t>小窗口计数</t>
  </si>
  <si>
    <t>https://leetcode.cn/problems/substrings-of-size-three-with-distinct-characters/</t>
  </si>
  <si>
    <t>得到 K 个黑块的最少涂色次数</t>
  </si>
  <si>
    <t>窗口维护</t>
  </si>
  <si>
    <t>https://leetcode.cn/problems/minimum-recolors-to-get-k-consecutive-black-blocks/</t>
  </si>
  <si>
    <t>学生分数的最小差值</t>
  </si>
  <si>
    <t>排序窗口</t>
  </si>
  <si>
    <t>https://leetcode.cn/problems/minimum-difference-between-highest-and-lowest-of-k-scores/</t>
  </si>
  <si>
    <t>拆炸弹</t>
  </si>
  <si>
    <t>环形窗口</t>
  </si>
  <si>
    <t>https://leetcode.cn/problems/defuse-the-bomb/</t>
  </si>
  <si>
    <t>逐步求和得到正数的最小值</t>
  </si>
  <si>
    <t>前缀最小值</t>
  </si>
  <si>
    <t>https://leetcode.cn/problems/minimum-value-to-get-positive-step-by-step-sum/</t>
  </si>
  <si>
    <t>左右元素和的差值</t>
  </si>
  <si>
    <t>前缀后缀</t>
  </si>
  <si>
    <t>https://leetcode.cn/problems/left-and-right-sum-differences/</t>
  </si>
  <si>
    <t>检查是否区域内所有整数都被覆盖</t>
  </si>
  <si>
    <t>差分数组入门</t>
  </si>
  <si>
    <t>https://leetcode.cn/problems/check-if-all-the-integers-in-a-range-are-covered/</t>
  </si>
  <si>
    <t>人口最多的年份</t>
  </si>
  <si>
    <t>差分统计</t>
  </si>
  <si>
    <t>https://leetcode.cn/problems/maximum-population-year/</t>
  </si>
  <si>
    <t>买卖股票的最佳时机</t>
  </si>
  <si>
    <t>前缀最小与贪心</t>
  </si>
  <si>
    <t>https://leetcode.cn/problems/best-time-to-buy-and-sell-stock/</t>
  </si>
  <si>
    <t>最大子数组和</t>
  </si>
  <si>
    <t>Kadane/状态转移</t>
  </si>
  <si>
    <t>https://leetcode.cn/problems/maximum-subarray/</t>
  </si>
  <si>
    <t>种花问题</t>
  </si>
  <si>
    <t>局部贪心</t>
  </si>
  <si>
    <t>https://leetcode.cn/problems/can-place-flowers/</t>
  </si>
  <si>
    <t>柠檬水找零</t>
  </si>
  <si>
    <t>贪心维护零钱</t>
  </si>
  <si>
    <t>https://leetcode.cn/problems/lemonade-change/</t>
  </si>
  <si>
    <t>斐波那契数</t>
  </si>
  <si>
    <t>状态递推</t>
  </si>
  <si>
    <t>https://leetcode.cn/problems/fibonacci-number/</t>
  </si>
  <si>
    <t>爬楼梯</t>
  </si>
  <si>
    <t>一维 DP</t>
  </si>
  <si>
    <t>https://leetcode.cn/problems/climbing-stairs/</t>
  </si>
  <si>
    <t>使用最小花费爬楼梯</t>
  </si>
  <si>
    <t>DP 状态设计</t>
  </si>
  <si>
    <t>https://leetcode.cn/problems/min-cost-climbing-stairs/</t>
  </si>
  <si>
    <t>第 N 个泰波那契数</t>
  </si>
  <si>
    <t>三项递推</t>
  </si>
  <si>
    <t>https://leetcode.cn/problems/n-th-tribonacci-number/</t>
  </si>
  <si>
    <t>回文数</t>
  </si>
  <si>
    <t>整数与反转</t>
  </si>
  <si>
    <t>https://leetcode.cn/problems/palindrome-number/</t>
  </si>
  <si>
    <t>罗马数字转整数</t>
  </si>
  <si>
    <t>映射与特殊规则</t>
  </si>
  <si>
    <t>https://leetcode.cn/problems/roman-to-integer/</t>
  </si>
  <si>
    <t>二进制求和</t>
  </si>
  <si>
    <t>二进制进位</t>
  </si>
  <si>
    <t>https://leetcode.cn/problems/add-binary/</t>
  </si>
  <si>
    <t>只出现一次的数字</t>
  </si>
  <si>
    <t>异或消除</t>
  </si>
  <si>
    <t>https://leetcode.cn/problems/single-number/</t>
  </si>
  <si>
    <t>Excel 表列名称</t>
  </si>
  <si>
    <t>进制变换</t>
  </si>
  <si>
    <t>https://leetcode.cn/problems/excel-sheet-column-title/</t>
  </si>
  <si>
    <t>Excel 表列序号</t>
  </si>
  <si>
    <t>类进制转换</t>
  </si>
  <si>
    <t>https://leetcode.cn/problems/excel-sheet-column-number/</t>
  </si>
  <si>
    <t>颠倒二进制位</t>
  </si>
  <si>
    <t>逐位反转</t>
  </si>
  <si>
    <t>https://leetcode.cn/problems/reverse-bits/</t>
  </si>
  <si>
    <t>位 1 的个数</t>
  </si>
  <si>
    <t>位计数</t>
  </si>
  <si>
    <t>https://leetcode.cn/problems/number-of-1-bits/</t>
  </si>
  <si>
    <t>2 的幂</t>
  </si>
  <si>
    <t>二进制特征</t>
  </si>
  <si>
    <t>https://leetcode.cn/problems/power-of-two/</t>
  </si>
  <si>
    <t>各位相加</t>
  </si>
  <si>
    <t>数根规律</t>
  </si>
  <si>
    <t>https://leetcode.cn/problems/add-digits/</t>
  </si>
  <si>
    <t>丢失的数字</t>
  </si>
  <si>
    <t>和/异或</t>
  </si>
  <si>
    <t>https://leetcode.cn/problems/missing-number/</t>
  </si>
  <si>
    <t>3 的幂</t>
  </si>
  <si>
    <t>整除与循环</t>
  </si>
  <si>
    <t>https://leetcode.cn/problems/power-of-three/</t>
  </si>
  <si>
    <t>4 的幂</t>
  </si>
  <si>
    <t>位运算判断</t>
  </si>
  <si>
    <t>https://leetcode.cn/problems/power-of-four/</t>
  </si>
  <si>
    <t>数字转换为十六进制数</t>
  </si>
  <si>
    <t>位掩码</t>
  </si>
  <si>
    <t>https://leetcode.cn/problems/convert-a-number-to-hexadecimal/</t>
  </si>
  <si>
    <t>Fizz Buzz</t>
  </si>
  <si>
    <t>取模分支</t>
  </si>
  <si>
    <t>https://leetcode.cn/problems/fizz-buzz/</t>
  </si>
  <si>
    <t>汉明距离</t>
  </si>
  <si>
    <t>异或位数</t>
  </si>
  <si>
    <t>https://leetcode.cn/problems/hamming-distance/</t>
  </si>
  <si>
    <t>数字的补数</t>
  </si>
  <si>
    <t>掩码与取反</t>
  </si>
  <si>
    <t>https://leetcode.cn/problems/number-complement/</t>
  </si>
  <si>
    <t>交替位二进制数</t>
  </si>
  <si>
    <t>位模式</t>
  </si>
  <si>
    <t>https://leetcode.cn/problems/binary-number-with-alternating-bits/</t>
  </si>
  <si>
    <t>二进制表示中质数个计算置位</t>
  </si>
  <si>
    <t>位计数与筛选</t>
  </si>
  <si>
    <t>https://leetcode.cn/problems/prime-number-of-set-bits-in-binary-representation/</t>
  </si>
  <si>
    <t>十进制整数的反码</t>
  </si>
  <si>
    <t>有效位掩码</t>
  </si>
  <si>
    <t>https://leetcode.cn/problems/complement-of-base-10-integer/</t>
  </si>
  <si>
    <t>将数字变成 0 的操作次数</t>
  </si>
  <si>
    <t>奇偶与移位</t>
  </si>
  <si>
    <t>https://leetcode.cn/problems/number-of-steps-to-reduce-a-number-to-zero/</t>
  </si>
  <si>
    <t>数组异或操作</t>
  </si>
  <si>
    <t>异或性质</t>
  </si>
  <si>
    <t>https://leetcode.cn/problems/xor-operation-in-an-array/</t>
  </si>
  <si>
    <t>数据流中的第 K 大元素</t>
  </si>
  <si>
    <t>小顶堆</t>
  </si>
  <si>
    <t>https://leetcode.cn/problems/kth-largest-element-in-a-stream/</t>
  </si>
  <si>
    <t>最后一块石头的重量</t>
  </si>
  <si>
    <t>堆合并</t>
  </si>
  <si>
    <t>https://leetcode.cn/problems/last-stone-weight/</t>
  </si>
  <si>
    <t>矩阵中战斗力最弱的 K 行</t>
  </si>
  <si>
    <t>排序/堆</t>
  </si>
  <si>
    <t>https://leetcode.cn/problems/the-k-weakest-rows-in-a-matrix/</t>
  </si>
  <si>
    <t>从数量最多的堆取走礼物</t>
  </si>
  <si>
    <t>优先队列模拟</t>
  </si>
  <si>
    <t>https://leetcode.cn/problems/take-gifts-from-the-richest-pile/</t>
  </si>
  <si>
    <t>设计哈希集合</t>
  </si>
  <si>
    <t>哈希结构实现</t>
  </si>
  <si>
    <t>https://leetcode.cn/problems/design-hashset/</t>
  </si>
  <si>
    <t>设计哈希映射</t>
  </si>
  <si>
    <t>键值结构实现</t>
  </si>
  <si>
    <t>https://leetcode.cn/problems/design-hashmap/</t>
  </si>
  <si>
    <t>设计停车系统</t>
  </si>
  <si>
    <t>状态封装</t>
  </si>
  <si>
    <t>https://leetcode.cn/problems/design-parking-system/</t>
  </si>
  <si>
    <t>设计有序流</t>
  </si>
  <si>
    <t>指针与结构设计</t>
  </si>
  <si>
    <t>https://leetcode.cn/problems/design-an-ordered-stream/</t>
  </si>
  <si>
    <t>进阶衔接 · 28 道 Medium 代表题  |  完成对应 Easy 专题后再尝试</t>
  </si>
  <si>
    <t>这些题不计入 Easy 进度，只是展示后续学习方向。尤其推荐链表、树和图的 Medium 题用于真正理解指针、递归和遍历。</t>
  </si>
  <si>
    <t>进阶分组</t>
  </si>
  <si>
    <t>关键技巧</t>
  </si>
  <si>
    <t>学习理由</t>
  </si>
  <si>
    <t>力扣链接</t>
  </si>
  <si>
    <t>01 数组·字符串·哈希</t>
  </si>
  <si>
    <t>无重复字符的最长子串</t>
  </si>
  <si>
    <t>滑动窗口</t>
  </si>
  <si>
    <t>建议先学窗口</t>
  </si>
  <si>
    <t>https://leetcode.cn/problems/longest-substring-without-repeating-characters/</t>
  </si>
  <si>
    <t>盛最多水的容器</t>
  </si>
  <si>
    <t>对向双指针</t>
  </si>
  <si>
    <t>双指针经典</t>
  </si>
  <si>
    <t>https://leetcode.cn/problems/container-with-most-water/</t>
  </si>
  <si>
    <t>三数之和</t>
  </si>
  <si>
    <t>排序与双指针</t>
  </si>
  <si>
    <t>去重问题</t>
  </si>
  <si>
    <t>https://leetcode.cn/problems/3sum/</t>
  </si>
  <si>
    <t>字母异位词分组</t>
  </si>
  <si>
    <t>哈希分组</t>
  </si>
  <si>
    <t>设计键</t>
  </si>
  <si>
    <t>https://leetcode.cn/problems/group-anagrams/</t>
  </si>
  <si>
    <t>合并区间</t>
  </si>
  <si>
    <t>排序与区间</t>
  </si>
  <si>
    <t>区间操作</t>
  </si>
  <si>
    <t>https://leetcode.cn/problems/merge-intervals/</t>
  </si>
  <si>
    <t>颜色分类</t>
  </si>
  <si>
    <t>三路划分</t>
  </si>
  <si>
    <t>原地排序</t>
  </si>
  <si>
    <t>https://leetcode.cn/problems/sort-colors/</t>
  </si>
  <si>
    <t>长度最小的子数组</t>
  </si>
  <si>
    <t>可变窗口</t>
  </si>
  <si>
    <t>收缩条件</t>
  </si>
  <si>
    <t>https://leetcode.cn/problems/minimum-size-subarray-sum/</t>
  </si>
  <si>
    <t>除了自身以外数组的乘积</t>
  </si>
  <si>
    <t>前后缀积</t>
  </si>
  <si>
    <t>无除法</t>
  </si>
  <si>
    <t>https://leetcode.cn/problems/product-of-array-except-self/</t>
  </si>
  <si>
    <t>02 链表·栈·树</t>
  </si>
  <si>
    <t>两数相加</t>
  </si>
  <si>
    <t>链表模拟进位</t>
  </si>
  <si>
    <t>节点构建</t>
  </si>
  <si>
    <t>https://leetcode.cn/problems/add-two-numbers/</t>
  </si>
  <si>
    <t>删除链表的倒数第 N 个结点</t>
  </si>
  <si>
    <t>间距设计</t>
  </si>
  <si>
    <t>https://leetcode.cn/problems/remove-nth-node-from-end-of-list/</t>
  </si>
  <si>
    <t>两两交换链表中的节点</t>
  </si>
  <si>
    <t>指针重连</t>
  </si>
  <si>
    <t>dummy 进阶</t>
  </si>
  <si>
    <t>https://leetcode.cn/problems/swap-nodes-in-pairs/</t>
  </si>
  <si>
    <t>反转链表 II</t>
  </si>
  <si>
    <t>局部反转</t>
  </si>
  <si>
    <t>边界处理</t>
  </si>
  <si>
    <t>https://leetcode.cn/problems/reverse-linked-list-ii/</t>
  </si>
  <si>
    <t>二叉树的层序遍历</t>
  </si>
  <si>
    <t>队列 BFS</t>
  </si>
  <si>
    <t>层与节点</t>
  </si>
  <si>
    <t>https://leetcode.cn/problems/binary-tree-level-order-traversal/</t>
  </si>
  <si>
    <t>验证二叉搜索树</t>
  </si>
  <si>
    <t>BST 范围约束</t>
  </si>
  <si>
    <t>递归边界</t>
  </si>
  <si>
    <t>https://leetcode.cn/problems/validate-binary-search-tree/</t>
  </si>
  <si>
    <t>每日温度</t>
  </si>
  <si>
    <t>等待下个更大</t>
  </si>
  <si>
    <t>https://leetcode.cn/problems/daily-temperatures/</t>
  </si>
  <si>
    <t>二叉树的最近公共祖先</t>
  </si>
  <si>
    <t>递归分治</t>
  </si>
  <si>
    <t>树上信息回传</t>
  </si>
  <si>
    <t>https://leetcode.cn/problems/lowest-common-ancestor-of-a-binary-tree/</t>
  </si>
  <si>
    <t>03 图·高级结构·DP</t>
  </si>
  <si>
    <t>岛屿数量</t>
  </si>
  <si>
    <t>连通块</t>
  </si>
  <si>
    <t>https://leetcode.cn/problems/number-of-islands/</t>
  </si>
  <si>
    <t>腐烂的橘子</t>
  </si>
  <si>
    <t>多源 BFS</t>
  </si>
  <si>
    <t>层数与时间</t>
  </si>
  <si>
    <t>https://leetcode.cn/problems/rotting-oranges/</t>
  </si>
  <si>
    <t>课程表</t>
  </si>
  <si>
    <t>拓扑排序</t>
  </si>
  <si>
    <t>有向图</t>
  </si>
  <si>
    <t>https://leetcode.cn/problems/course-schedule/</t>
  </si>
  <si>
    <t>实现 Trie (前缀树)</t>
  </si>
  <si>
    <t>前缀树</t>
  </si>
  <si>
    <t>多分支节点</t>
  </si>
  <si>
    <t>https://leetcode.cn/problems/implement-trie-prefix-tree/</t>
  </si>
  <si>
    <t>数组中的第 K 个最大元素</t>
  </si>
  <si>
    <t>堆/快速选择</t>
  </si>
  <si>
    <t>第 K 大</t>
  </si>
  <si>
    <t>https://leetcode.cn/problems/kth-largest-element-in-an-array/</t>
  </si>
  <si>
    <t>前 K 个高频元素</t>
  </si>
  <si>
    <t>计数+堆</t>
  </si>
  <si>
    <t>组合结构</t>
  </si>
  <si>
    <t>https://leetcode.cn/problems/top-k-frequent-elements/</t>
  </si>
  <si>
    <t>LRU 缓存</t>
  </si>
  <si>
    <t>字典+双向链表</t>
  </si>
  <si>
    <t>混合结构</t>
  </si>
  <si>
    <t>https://leetcode.cn/problems/lru-cache/</t>
  </si>
  <si>
    <t>冗余连接</t>
  </si>
  <si>
    <t>并查集</t>
  </si>
  <si>
    <t>判断连通</t>
  </si>
  <si>
    <t>https://leetcode.cn/problems/redundant-connection/</t>
  </si>
  <si>
    <t>打家劫舍</t>
  </si>
  <si>
    <t>状态设计</t>
  </si>
  <si>
    <t>一维 DP 升级</t>
  </si>
  <si>
    <t>https://leetcode.cn/problems/house-robber/</t>
  </si>
  <si>
    <t>零钱兑换</t>
  </si>
  <si>
    <t>完全背包 DP</t>
  </si>
  <si>
    <t>最优化</t>
  </si>
  <si>
    <t>https://leetcode.cn/problems/coin-change/</t>
  </si>
  <si>
    <t>全排列</t>
  </si>
  <si>
    <t>回溯</t>
  </si>
  <si>
    <t>选择与撤销</t>
  </si>
  <si>
    <t>https://leetcode.cn/problems/permutations/</t>
  </si>
  <si>
    <t>子集</t>
  </si>
  <si>
    <t>状态树</t>
  </si>
  <si>
    <t>https://leetcode.cn/problems/subsets/</t>
  </si>
  <si>
    <t>学习说明  |  刷题不仅是做对，还要理解为什么</t>
  </si>
  <si>
    <t>如何使用这份题单</t>
  </si>
  <si>
    <t>① 先学方法，再做题</t>
  </si>
  <si>
    <t>一个专题先理解关键操作，再连续做 5～8 道题，剩余作为巩固；暂时不要为刷完 222 道而牺牲理解。</t>
  </si>
  <si>
    <t>② 一题做三遍</t>
  </si>
  <si>
    <t>第一次独立尝试；第二次用自己的话复盘思路；第三次间隔 3～7 天不看题解重做。</t>
  </si>
  <si>
    <t>③ 建议时间分配</t>
  </si>
  <si>
    <t>Easy 先独立想约 15～25 分钟；完全没有进展时先看提示，不直接照抄整份答案。根据题目难度灵活调整。</t>
  </si>
  <si>
    <t>④ 复杂度复盘</t>
  </si>
  <si>
    <t>每题记录主要数据结构、为何选择它、时间复杂度、额外空间复杂度、最容易错的边界。</t>
  </si>
  <si>
    <t>⑤ 可视化辅助</t>
  </si>
  <si>
    <t>复杂的链表指针、栈、树递归、DFS/BFS 及状态转移题用图或可交互演示；简单题优先少量文字与代码。</t>
  </si>
  <si>
    <t>⑥ 多标签题目的归类</t>
  </si>
  <si>
    <t>为了学习顺序，每题只归入一个主专题；例如哈希+数组、双指针+字符串属于交叉知识，不代表题目只有一个标签。</t>
  </si>
  <si>
    <t>⑦ 已讨论过的题</t>
  </si>
  <si>
    <t>9 回文数；13 罗马数字转整数；14 最长公共前缀；20 有效的括号；21 合并两个有序链表。表格标注“曾讨论”，不代表已熟练掌握。</t>
  </si>
  <si>
    <t>⑧ 难度与链接</t>
  </si>
  <si>
    <t>以 2026-10-18 前后力扣公开内容及经典 Easy 分类为依据；平台难度、题名或权限可能调整，以实际题目页面为准。</t>
  </si>
  <si>
    <t>⑨ 挑战 Medium 的时机</t>
  </si>
  <si>
    <t>能独立完成该专题约 70% 核心 Easy 题、讲清指针/状态变化及 O 复杂度后，就可以穿插对应 Medium，而不必刷光所有 Easy。</t>
  </si>
  <si>
    <t>权威参考资料</t>
  </si>
  <si>
    <t>力扣：编程基础 0 到 1</t>
  </si>
  <si>
    <t>https://leetcode.cn/studyplan/programming-skills/</t>
  </si>
  <si>
    <t>力扣：LeetCode 75</t>
  </si>
  <si>
    <t>https://leetcode.cn/studyplan/leetcode-75/</t>
  </si>
  <si>
    <t>力扣：数组专题</t>
  </si>
  <si>
    <t>https://leetcode.cn/problem-list/array/</t>
  </si>
  <si>
    <t>力扣：树专题</t>
  </si>
  <si>
    <t>https://leetcode.cn/problem-list/tree/</t>
  </si>
  <si>
    <t>力扣：队列专题</t>
  </si>
  <si>
    <t>https://leetcode.cn/problem-list/queue/</t>
  </si>
  <si>
    <t>力扣：堆 / 优先队列专题</t>
  </si>
  <si>
    <t>https://leetcode.cn/problem-list/heap-priority-queue/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</si>
</sst>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7"/>
      <color rgb="FFFFFFFF"/>
      <name val="Carlito"/>
    </font>
    <font>
      <sz val="11"/>
      <color rgb="FF12304A"/>
      <name val="Carlito"/>
    </font>
    <font>
      <b/>
      <sz val="11"/>
      <color rgb="FFFFFFFF"/>
      <name val="Carlito"/>
    </font>
    <font>
      <sz val="11"/>
      <color rgb="FF64748B"/>
      <name val="Carlito"/>
    </font>
    <font>
      <b/>
      <sz val="14"/>
      <color rgb="FF12304A"/>
      <name val="Carlito"/>
    </font>
    <font>
      <b/>
      <sz val="11"/>
      <color rgb="FF12304A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E8F6F4"/>
      </patternFill>
    </fill>
    <fill>
      <patternFill patternType="solid">
        <fgColor rgb="FFEDF4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3" fillId="2" borderId="0" xfId="1" applyFont="1" applyFill="1"/>
    <xf numFmtId="0" fontId="3" fillId="2" borderId="0" xfId="1" applyFont="1" applyFill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4" fillId="0" borderId="0" xfId="1" applyFont="1"/>
    <xf numFmtId="0" fontId="0" fillId="0" borderId="0" xfId="1" applyFont="1" applyAlignment="1">
      <alignment horizontal="center"/>
    </xf>
    <xf numFmtId="0" fontId="5" fillId="0" borderId="0" xfId="1" applyFont="1"/>
    <xf numFmtId="9" fontId="0" fillId="0" borderId="0" xfId="1" applyNumberFormat="1" applyFont="1" applyAlignment="1">
      <alignment horizontal="center"/>
    </xf>
    <xf numFmtId="9" fontId="3" fillId="2" borderId="0" xfId="1" applyNumberFormat="1" applyFont="1" applyFill="1" applyAlignment="1">
      <alignment horizontal="center"/>
    </xf>
    <xf numFmtId="0" fontId="6" fillId="3" borderId="0" xfId="1" applyFont="1" applyFill="1"/>
    <xf numFmtId="0" fontId="6" fillId="3" borderId="0" xfId="1" applyFont="1" applyFill="1" applyAlignment="1">
      <alignment wrapText="1"/>
    </xf>
    <xf numFmtId="0" fontId="6" fillId="0" borderId="0" xfId="1" applyFont="1"/>
    <xf numFmtId="0" fontId="1" fillId="2" borderId="0" xfId="1" applyFont="1" applyFill="1" applyAlignment="1">
      <alignment vertical="center"/>
    </xf>
    <xf numFmtId="0" fontId="2" fillId="3" borderId="0" xfId="1" applyFont="1" applyFill="1"/>
    <xf numFmtId="0" fontId="6" fillId="4" borderId="0" xfId="1" applyFont="1" applyFill="1"/>
    <xf numFmtId="0" fontId="0" fillId="0" borderId="0" xfId="0"/>
    <xf numFmtId="0" fontId="2" fillId="4" borderId="0" xfId="1" applyFont="1" applyFill="1"/>
  </cellXfs>
  <cellStyles count="2">
    <cellStyle name="Normal" xfId="1" xr:uid="{00000000-0005-0000-0000-000000000000}"/>
    <cellStyle name="常规" xfId="0" builtinId="0"/>
  </cellStyles>
  <dxfs count="3"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asyCurriculum" displayName="EasyCurriculum" ref="A4:J226" totalsRowShown="0">
  <tableColumns count="10">
    <tableColumn id="1" xr3:uid="{00000000-0010-0000-0000-000001000000}" name="阶段"/>
    <tableColumn id="2" xr3:uid="{00000000-0010-0000-0000-000002000000}" name="专题"/>
    <tableColumn id="3" xr3:uid="{00000000-0010-0000-0000-000003000000}" name="题号"/>
    <tableColumn id="4" xr3:uid="{00000000-0010-0000-0000-000004000000}" name="中文题名"/>
    <tableColumn id="5" xr3:uid="{00000000-0010-0000-0000-000005000000}" name="核心训练点"/>
    <tableColumn id="6" xr3:uid="{00000000-0010-0000-0000-000006000000}" name="难度"/>
    <tableColumn id="7" xr3:uid="{00000000-0010-0000-0000-000007000000}" name="学习状态"/>
    <tableColumn id="8" xr3:uid="{00000000-0010-0000-0000-000008000000}" name="已接触"/>
    <tableColumn id="9" xr3:uid="{00000000-0010-0000-0000-000009000000}" name="力扣题目链接"/>
    <tableColumn id="10" xr3:uid="{00000000-0010-0000-0000-00000A000000}" name="复盘笔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diumBridge" displayName="MediumBridge" ref="A4:G32" totalsRowShown="0">
  <tableColumns count="7">
    <tableColumn id="1" xr3:uid="{00000000-0010-0000-0100-000001000000}" name="进阶分组"/>
    <tableColumn id="2" xr3:uid="{00000000-0010-0000-0100-000002000000}" name="题号"/>
    <tableColumn id="3" xr3:uid="{00000000-0010-0000-0100-000003000000}" name="中文题名"/>
    <tableColumn id="4" xr3:uid="{00000000-0010-0000-0100-000004000000}" name="关键技巧"/>
    <tableColumn id="5" xr3:uid="{00000000-0010-0000-0100-000005000000}" name="学习理由"/>
    <tableColumn id="6" xr3:uid="{00000000-0010-0000-0100-000006000000}" name="力扣链接"/>
    <tableColumn id="7" xr3:uid="{00000000-0010-0000-0100-000007000000}" name="学习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pane ySplit="7" topLeftCell="A8" activePane="bottomLeft" state="frozen"/>
      <selection pane="bottomLeft"/>
    </sheetView>
  </sheetViews>
  <sheetFormatPr defaultRowHeight="14.25"/>
  <cols>
    <col min="1" max="1" width="9" customWidth="1"/>
    <col min="2" max="2" width="25" customWidth="1"/>
    <col min="3" max="3" width="14" customWidth="1"/>
    <col min="4" max="5" width="13" customWidth="1"/>
    <col min="6" max="6" width="14" customWidth="1"/>
    <col min="7" max="7" width="44" customWidth="1"/>
    <col min="8" max="8" width="30" customWidth="1"/>
  </cols>
  <sheetData>
    <row r="1" spans="1:8" ht="32.1" customHeight="1">
      <c r="A1" s="13" t="s">
        <v>0</v>
      </c>
      <c r="B1" s="13"/>
      <c r="C1" s="13"/>
      <c r="D1" s="13"/>
      <c r="E1" s="13"/>
      <c r="F1" s="13"/>
      <c r="G1" s="13"/>
      <c r="H1" s="13"/>
    </row>
    <row r="2" spans="1:8" ht="32.1" customHeight="1">
      <c r="A2" s="13"/>
      <c r="B2" s="13"/>
      <c r="C2" s="13"/>
      <c r="D2" s="13"/>
      <c r="E2" s="13"/>
      <c r="F2" s="13"/>
      <c r="G2" s="13"/>
      <c r="H2" s="13"/>
    </row>
    <row r="3" spans="1:8" ht="26.1" customHeight="1">
      <c r="A3" s="14" t="s">
        <v>1</v>
      </c>
      <c r="B3" s="14"/>
      <c r="C3" s="14"/>
      <c r="D3" s="14"/>
      <c r="E3" s="14"/>
      <c r="F3" s="14"/>
      <c r="G3" s="14"/>
      <c r="H3" s="14"/>
    </row>
    <row r="5" spans="1:8" ht="18">
      <c r="A5" s="7" t="s">
        <v>2</v>
      </c>
    </row>
    <row r="7" spans="1:8" ht="27.95" customHeight="1">
      <c r="A7" s="3" t="s">
        <v>3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</row>
    <row r="8" spans="1:8" ht="26.1" customHeight="1">
      <c r="A8" s="6">
        <v>1</v>
      </c>
      <c r="B8" t="s">
        <v>11</v>
      </c>
      <c r="C8" s="6">
        <f>COUNTIF(Easy题单!$B$5:$B$226,B8)</f>
        <v>22</v>
      </c>
      <c r="D8" s="6">
        <f>COUNTIFS(Easy题单!$B$5:$B$226,B8,Easy题单!$G$5:$G$226,"已完成")</f>
        <v>3</v>
      </c>
      <c r="E8" s="6">
        <f>COUNTIFS(Easy题单!$B$5:$B$226,B8,Easy题单!$G$5:$G$226,"进行中")</f>
        <v>0</v>
      </c>
      <c r="F8" s="8">
        <f t="shared" ref="F8:F20" si="0">IFERROR(D8/C8,0)</f>
        <v>0.13636363636363635</v>
      </c>
      <c r="G8" s="4" t="s">
        <v>12</v>
      </c>
      <c r="H8" s="4" t="s">
        <v>13</v>
      </c>
    </row>
    <row r="9" spans="1:8" ht="26.1" customHeight="1">
      <c r="A9" s="6">
        <v>2</v>
      </c>
      <c r="B9" t="s">
        <v>14</v>
      </c>
      <c r="C9" s="6">
        <f>COUNTIF(Easy题单!$B$5:$B$226,B9)</f>
        <v>22</v>
      </c>
      <c r="D9" s="6">
        <f>COUNTIFS(Easy题单!$B$5:$B$226,B9,Easy题单!$G$5:$G$226,"已完成")</f>
        <v>0</v>
      </c>
      <c r="E9" s="6">
        <f>COUNTIFS(Easy题单!$B$5:$B$226,B9,Easy题单!$G$5:$G$226,"进行中")</f>
        <v>0</v>
      </c>
      <c r="F9" s="8">
        <f t="shared" si="0"/>
        <v>0</v>
      </c>
      <c r="G9" s="4" t="s">
        <v>15</v>
      </c>
      <c r="H9" s="4" t="s">
        <v>16</v>
      </c>
    </row>
    <row r="10" spans="1:8" ht="26.1" customHeight="1">
      <c r="A10" s="6">
        <v>3</v>
      </c>
      <c r="B10" t="s">
        <v>17</v>
      </c>
      <c r="C10" s="6">
        <f>COUNTIF(Easy题单!$B$5:$B$226,B10)</f>
        <v>22</v>
      </c>
      <c r="D10" s="6">
        <f>COUNTIFS(Easy题单!$B$5:$B$226,B10,Easy题单!$G$5:$G$226,"已完成")</f>
        <v>0</v>
      </c>
      <c r="E10" s="6">
        <f>COUNTIFS(Easy题单!$B$5:$B$226,B10,Easy题单!$G$5:$G$226,"进行中")</f>
        <v>0</v>
      </c>
      <c r="F10" s="8">
        <f t="shared" si="0"/>
        <v>0</v>
      </c>
      <c r="G10" s="4" t="s">
        <v>18</v>
      </c>
      <c r="H10" s="4" t="s">
        <v>13</v>
      </c>
    </row>
    <row r="11" spans="1:8" ht="26.1" customHeight="1">
      <c r="A11" s="6">
        <v>4</v>
      </c>
      <c r="B11" t="s">
        <v>19</v>
      </c>
      <c r="C11" s="6">
        <f>COUNTIF(Easy题单!$B$5:$B$226,B11)</f>
        <v>22</v>
      </c>
      <c r="D11" s="6">
        <f>COUNTIFS(Easy题单!$B$5:$B$226,B11,Easy题单!$G$5:$G$226,"已完成")</f>
        <v>0</v>
      </c>
      <c r="E11" s="6">
        <f>COUNTIFS(Easy题单!$B$5:$B$226,B11,Easy题单!$G$5:$G$226,"进行中")</f>
        <v>0</v>
      </c>
      <c r="F11" s="8">
        <f t="shared" si="0"/>
        <v>0</v>
      </c>
      <c r="G11" s="4" t="s">
        <v>20</v>
      </c>
      <c r="H11" s="4" t="s">
        <v>13</v>
      </c>
    </row>
    <row r="12" spans="1:8" ht="26.1" customHeight="1">
      <c r="A12" s="6">
        <v>5</v>
      </c>
      <c r="B12" t="s">
        <v>21</v>
      </c>
      <c r="C12" s="6">
        <f>COUNTIF(Easy题单!$B$5:$B$226,B12)</f>
        <v>12</v>
      </c>
      <c r="D12" s="6">
        <f>COUNTIFS(Easy题单!$B$5:$B$226,B12,Easy题单!$G$5:$G$226,"已完成")</f>
        <v>0</v>
      </c>
      <c r="E12" s="6">
        <f>COUNTIFS(Easy题单!$B$5:$B$226,B12,Easy题单!$G$5:$G$226,"进行中")</f>
        <v>0</v>
      </c>
      <c r="F12" s="8">
        <f t="shared" si="0"/>
        <v>0</v>
      </c>
      <c r="G12" s="4" t="s">
        <v>22</v>
      </c>
      <c r="H12" s="4" t="s">
        <v>23</v>
      </c>
    </row>
    <row r="13" spans="1:8" ht="26.1" customHeight="1">
      <c r="A13" s="6">
        <v>6</v>
      </c>
      <c r="B13" t="s">
        <v>24</v>
      </c>
      <c r="C13" s="6">
        <f>COUNTIF(Easy题单!$B$5:$B$226,B13)</f>
        <v>10</v>
      </c>
      <c r="D13" s="6">
        <f>COUNTIFS(Easy题单!$B$5:$B$226,B13,Easy题单!$G$5:$G$226,"已完成")</f>
        <v>0</v>
      </c>
      <c r="E13" s="6">
        <f>COUNTIFS(Easy题单!$B$5:$B$226,B13,Easy题单!$G$5:$G$226,"进行中")</f>
        <v>0</v>
      </c>
      <c r="F13" s="8">
        <f t="shared" si="0"/>
        <v>0</v>
      </c>
      <c r="G13" s="4" t="s">
        <v>25</v>
      </c>
      <c r="H13" s="4" t="s">
        <v>26</v>
      </c>
    </row>
    <row r="14" spans="1:8" ht="26.1" customHeight="1">
      <c r="A14" s="6">
        <v>7</v>
      </c>
      <c r="B14" t="s">
        <v>27</v>
      </c>
      <c r="C14" s="6">
        <f>COUNTIF(Easy题单!$B$5:$B$226,B14)</f>
        <v>15</v>
      </c>
      <c r="D14" s="6">
        <f>COUNTIFS(Easy题单!$B$5:$B$226,B14,Easy题单!$G$5:$G$226,"已完成")</f>
        <v>0</v>
      </c>
      <c r="E14" s="6">
        <f>COUNTIFS(Easy题单!$B$5:$B$226,B14,Easy题单!$G$5:$G$226,"进行中")</f>
        <v>0</v>
      </c>
      <c r="F14" s="8">
        <f t="shared" si="0"/>
        <v>0</v>
      </c>
      <c r="G14" s="4" t="s">
        <v>28</v>
      </c>
      <c r="H14" s="4" t="s">
        <v>29</v>
      </c>
    </row>
    <row r="15" spans="1:8" ht="26.1" customHeight="1">
      <c r="A15" s="6">
        <v>8</v>
      </c>
      <c r="B15" t="s">
        <v>30</v>
      </c>
      <c r="C15" s="6">
        <f>COUNTIF(Easy题单!$B$5:$B$226,B15)</f>
        <v>26</v>
      </c>
      <c r="D15" s="6">
        <f>COUNTIFS(Easy题单!$B$5:$B$226,B15,Easy题单!$G$5:$G$226,"已完成")</f>
        <v>0</v>
      </c>
      <c r="E15" s="6">
        <f>COUNTIFS(Easy题单!$B$5:$B$226,B15,Easy题单!$G$5:$G$226,"进行中")</f>
        <v>0</v>
      </c>
      <c r="F15" s="8">
        <f t="shared" si="0"/>
        <v>0</v>
      </c>
      <c r="G15" s="4" t="s">
        <v>31</v>
      </c>
      <c r="H15" s="4" t="s">
        <v>32</v>
      </c>
    </row>
    <row r="16" spans="1:8" ht="26.1" customHeight="1">
      <c r="A16" s="6">
        <v>9</v>
      </c>
      <c r="B16" t="s">
        <v>33</v>
      </c>
      <c r="C16" s="6">
        <f>COUNTIF(Easy题单!$B$5:$B$226,B16)</f>
        <v>20</v>
      </c>
      <c r="D16" s="6">
        <f>COUNTIFS(Easy题单!$B$5:$B$226,B16,Easy题单!$G$5:$G$226,"已完成")</f>
        <v>0</v>
      </c>
      <c r="E16" s="6">
        <f>COUNTIFS(Easy题单!$B$5:$B$226,B16,Easy题单!$G$5:$G$226,"进行中")</f>
        <v>0</v>
      </c>
      <c r="F16" s="8">
        <f t="shared" si="0"/>
        <v>0</v>
      </c>
      <c r="G16" s="4" t="s">
        <v>34</v>
      </c>
      <c r="H16" s="4" t="s">
        <v>35</v>
      </c>
    </row>
    <row r="17" spans="1:8" ht="26.1" customHeight="1">
      <c r="A17" s="6">
        <v>10</v>
      </c>
      <c r="B17" t="s">
        <v>36</v>
      </c>
      <c r="C17" s="6">
        <f>COUNTIF(Easy题单!$B$5:$B$226,B17)</f>
        <v>21</v>
      </c>
      <c r="D17" s="6">
        <f>COUNTIFS(Easy题单!$B$5:$B$226,B17,Easy题单!$G$5:$G$226,"已完成")</f>
        <v>0</v>
      </c>
      <c r="E17" s="6">
        <f>COUNTIFS(Easy题单!$B$5:$B$226,B17,Easy题单!$G$5:$G$226,"进行中")</f>
        <v>0</v>
      </c>
      <c r="F17" s="8">
        <f t="shared" si="0"/>
        <v>0</v>
      </c>
      <c r="G17" s="4" t="s">
        <v>37</v>
      </c>
      <c r="H17" s="4" t="s">
        <v>38</v>
      </c>
    </row>
    <row r="18" spans="1:8" ht="26.1" customHeight="1">
      <c r="A18" s="6">
        <v>11</v>
      </c>
      <c r="B18" t="s">
        <v>39</v>
      </c>
      <c r="C18" s="6">
        <f>COUNTIF(Easy题单!$B$5:$B$226,B18)</f>
        <v>22</v>
      </c>
      <c r="D18" s="6">
        <f>COUNTIFS(Easy题单!$B$5:$B$226,B18,Easy题单!$G$5:$G$226,"已完成")</f>
        <v>0</v>
      </c>
      <c r="E18" s="6">
        <f>COUNTIFS(Easy题单!$B$5:$B$226,B18,Easy题单!$G$5:$G$226,"进行中")</f>
        <v>0</v>
      </c>
      <c r="F18" s="8">
        <f t="shared" si="0"/>
        <v>0</v>
      </c>
      <c r="G18" s="4" t="s">
        <v>40</v>
      </c>
      <c r="H18" s="4" t="s">
        <v>41</v>
      </c>
    </row>
    <row r="19" spans="1:8" ht="26.1" customHeight="1">
      <c r="A19" s="6">
        <v>12</v>
      </c>
      <c r="B19" t="s">
        <v>42</v>
      </c>
      <c r="C19" s="6">
        <f>COUNTIF(Easy题单!$B$5:$B$226,B19)</f>
        <v>8</v>
      </c>
      <c r="D19" s="6">
        <f>COUNTIFS(Easy题单!$B$5:$B$226,B19,Easy题单!$G$5:$G$226,"已完成")</f>
        <v>0</v>
      </c>
      <c r="E19" s="6">
        <f>COUNTIFS(Easy题单!$B$5:$B$226,B19,Easy题单!$G$5:$G$226,"进行中")</f>
        <v>0</v>
      </c>
      <c r="F19" s="8">
        <f t="shared" si="0"/>
        <v>0</v>
      </c>
      <c r="G19" s="4" t="s">
        <v>43</v>
      </c>
      <c r="H19" s="4" t="s">
        <v>44</v>
      </c>
    </row>
    <row r="20" spans="1:8" ht="30" customHeight="1">
      <c r="B20" s="1" t="s">
        <v>45</v>
      </c>
      <c r="C20" s="2">
        <f>SUM(C8:C19)</f>
        <v>222</v>
      </c>
      <c r="D20" s="2">
        <f>SUM(D8:D19)</f>
        <v>3</v>
      </c>
      <c r="E20" s="2">
        <f>SUM(E8:E19)</f>
        <v>0</v>
      </c>
      <c r="F20" s="9">
        <f t="shared" si="0"/>
        <v>1.3513513513513514E-2</v>
      </c>
      <c r="G20" s="1"/>
      <c r="H20" s="1"/>
    </row>
    <row r="23" spans="1:8" ht="30" customHeight="1">
      <c r="A23" s="15" t="s">
        <v>46</v>
      </c>
      <c r="B23" s="15"/>
      <c r="C23" s="15"/>
      <c r="D23" s="15"/>
      <c r="E23" s="15"/>
      <c r="F23" s="15"/>
      <c r="G23" s="15"/>
      <c r="H23" s="15"/>
    </row>
    <row r="24" spans="1:8" ht="26.1" customHeight="1">
      <c r="A24" s="16" t="s">
        <v>47</v>
      </c>
      <c r="B24" s="16"/>
      <c r="C24" s="16"/>
      <c r="D24" s="16"/>
      <c r="E24" s="16"/>
      <c r="F24" s="16"/>
      <c r="G24" s="16"/>
      <c r="H24" s="16"/>
    </row>
  </sheetData>
  <mergeCells count="4">
    <mergeCell ref="A1:H2"/>
    <mergeCell ref="A3:H3"/>
    <mergeCell ref="A23:H23"/>
    <mergeCell ref="A24:H24"/>
  </mergeCells>
  <phoneticPr fontId="8" type="noConversion"/>
  <conditionalFormatting sqref="F8:F19">
    <cfRule type="dataBar" priority="1">
      <dataBar>
        <cfvo type="min"/>
        <cfvo type="max"/>
        <color rgb="FF0D9488"/>
      </dataBar>
    </cfRule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{199E4998-2940-7F4C-2353-8049D87B2BCF}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9E4998-2940-7F4C-2353-8049D87B2BCF}">
            <x14:dataBar>
              <x14:cfvo type="min"/>
              <x14:cfvo type="max"/>
              <x14:negativeFillColor auto="1"/>
              <x14:axisColor auto="1"/>
            </x14:dataBar>
          </x14:cfRule>
          <xm:sqref>F8:F19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6"/>
  <sheetViews>
    <sheetView tabSelected="1" workbookViewId="0">
      <pane ySplit="4" topLeftCell="A5" activePane="bottomLeft" state="frozen"/>
      <selection pane="bottomLeft" activeCell="G7" sqref="G7"/>
    </sheetView>
  </sheetViews>
  <sheetFormatPr defaultRowHeight="14.25"/>
  <cols>
    <col min="1" max="1" width="10" customWidth="1"/>
    <col min="2" max="2" width="24" customWidth="1"/>
    <col min="3" max="3" width="9" customWidth="1"/>
    <col min="4" max="4" width="43" customWidth="1"/>
    <col min="5" max="5" width="24" customWidth="1"/>
    <col min="6" max="6" width="10" customWidth="1"/>
    <col min="7" max="7" width="15" customWidth="1"/>
    <col min="8" max="8" width="14" customWidth="1"/>
    <col min="9" max="9" width="67" customWidth="1"/>
    <col min="10" max="10" width="42" customWidth="1"/>
  </cols>
  <sheetData>
    <row r="1" spans="1:10" ht="32.1" customHeight="1">
      <c r="A1" s="13" t="s">
        <v>48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2.1" customHeight="1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ht="24.95" customHeight="1">
      <c r="A3" s="14" t="s">
        <v>49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27.95" customHeight="1">
      <c r="A4" s="3" t="s">
        <v>50</v>
      </c>
      <c r="B4" s="3" t="s">
        <v>4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  <c r="I4" s="3" t="s">
        <v>57</v>
      </c>
      <c r="J4" s="3" t="s">
        <v>58</v>
      </c>
    </row>
    <row r="5" spans="1:10" ht="23.1" customHeight="1">
      <c r="A5" s="5" t="s">
        <v>59</v>
      </c>
      <c r="B5" t="s">
        <v>11</v>
      </c>
      <c r="C5" s="6">
        <v>1920</v>
      </c>
      <c r="D5" s="4" t="s">
        <v>60</v>
      </c>
      <c r="E5" s="4" t="s">
        <v>61</v>
      </c>
      <c r="F5" s="6" t="s">
        <v>62</v>
      </c>
      <c r="G5" s="6" t="s">
        <v>6</v>
      </c>
      <c r="H5" s="6"/>
      <c r="I5" t="s">
        <v>64</v>
      </c>
    </row>
    <row r="6" spans="1:10" ht="23.1" customHeight="1">
      <c r="A6" s="5" t="s">
        <v>59</v>
      </c>
      <c r="B6" t="s">
        <v>11</v>
      </c>
      <c r="C6" s="6">
        <v>1929</v>
      </c>
      <c r="D6" s="4" t="s">
        <v>65</v>
      </c>
      <c r="E6" s="4" t="s">
        <v>66</v>
      </c>
      <c r="F6" s="6" t="s">
        <v>62</v>
      </c>
      <c r="G6" s="6" t="s">
        <v>6</v>
      </c>
      <c r="H6" s="6"/>
      <c r="I6" t="s">
        <v>67</v>
      </c>
    </row>
    <row r="7" spans="1:10" ht="23.1" customHeight="1">
      <c r="A7" s="5" t="s">
        <v>59</v>
      </c>
      <c r="B7" t="s">
        <v>11</v>
      </c>
      <c r="C7" s="6">
        <v>1470</v>
      </c>
      <c r="D7" s="4" t="s">
        <v>68</v>
      </c>
      <c r="E7" s="4" t="s">
        <v>69</v>
      </c>
      <c r="F7" s="6" t="s">
        <v>62</v>
      </c>
      <c r="G7" s="6" t="s">
        <v>6</v>
      </c>
      <c r="H7" s="6"/>
      <c r="I7" t="s">
        <v>70</v>
      </c>
    </row>
    <row r="8" spans="1:10" ht="23.1" customHeight="1">
      <c r="A8" s="5" t="s">
        <v>59</v>
      </c>
      <c r="B8" t="s">
        <v>11</v>
      </c>
      <c r="C8" s="6">
        <v>1295</v>
      </c>
      <c r="D8" s="4" t="s">
        <v>71</v>
      </c>
      <c r="E8" s="4" t="s">
        <v>72</v>
      </c>
      <c r="F8" s="6" t="s">
        <v>62</v>
      </c>
      <c r="G8" s="6" t="s">
        <v>63</v>
      </c>
      <c r="H8" s="6"/>
      <c r="I8" t="s">
        <v>73</v>
      </c>
    </row>
    <row r="9" spans="1:10" ht="23.1" customHeight="1">
      <c r="A9" s="5" t="s">
        <v>59</v>
      </c>
      <c r="B9" t="s">
        <v>11</v>
      </c>
      <c r="C9" s="6">
        <v>485</v>
      </c>
      <c r="D9" s="4" t="s">
        <v>74</v>
      </c>
      <c r="E9" s="4" t="s">
        <v>75</v>
      </c>
      <c r="F9" s="6" t="s">
        <v>62</v>
      </c>
      <c r="G9" s="6" t="s">
        <v>63</v>
      </c>
      <c r="H9" s="6"/>
      <c r="I9" t="s">
        <v>76</v>
      </c>
    </row>
    <row r="10" spans="1:10" ht="23.1" customHeight="1">
      <c r="A10" s="5" t="s">
        <v>59</v>
      </c>
      <c r="B10" t="s">
        <v>11</v>
      </c>
      <c r="C10" s="6">
        <v>66</v>
      </c>
      <c r="D10" s="4" t="s">
        <v>77</v>
      </c>
      <c r="E10" s="4" t="s">
        <v>78</v>
      </c>
      <c r="F10" s="6" t="s">
        <v>62</v>
      </c>
      <c r="G10" s="6" t="s">
        <v>63</v>
      </c>
      <c r="H10" s="6"/>
      <c r="I10" t="s">
        <v>79</v>
      </c>
    </row>
    <row r="11" spans="1:10" ht="23.1" customHeight="1">
      <c r="A11" s="5" t="s">
        <v>59</v>
      </c>
      <c r="B11" t="s">
        <v>11</v>
      </c>
      <c r="C11" s="6">
        <v>1365</v>
      </c>
      <c r="D11" s="4" t="s">
        <v>80</v>
      </c>
      <c r="E11" s="4" t="s">
        <v>81</v>
      </c>
      <c r="F11" s="6" t="s">
        <v>62</v>
      </c>
      <c r="G11" s="6" t="s">
        <v>63</v>
      </c>
      <c r="H11" s="6"/>
      <c r="I11" t="s">
        <v>82</v>
      </c>
    </row>
    <row r="12" spans="1:10" ht="23.1" customHeight="1">
      <c r="A12" s="5" t="s">
        <v>59</v>
      </c>
      <c r="B12" t="s">
        <v>11</v>
      </c>
      <c r="C12" s="6">
        <v>1431</v>
      </c>
      <c r="D12" s="4" t="s">
        <v>83</v>
      </c>
      <c r="E12" s="4" t="s">
        <v>84</v>
      </c>
      <c r="F12" s="6" t="s">
        <v>62</v>
      </c>
      <c r="G12" s="6" t="s">
        <v>63</v>
      </c>
      <c r="H12" s="6"/>
      <c r="I12" t="s">
        <v>85</v>
      </c>
    </row>
    <row r="13" spans="1:10" ht="23.1" customHeight="1">
      <c r="A13" s="5" t="s">
        <v>59</v>
      </c>
      <c r="B13" t="s">
        <v>11</v>
      </c>
      <c r="C13" s="6">
        <v>1512</v>
      </c>
      <c r="D13" s="4" t="s">
        <v>86</v>
      </c>
      <c r="E13" s="4" t="s">
        <v>87</v>
      </c>
      <c r="F13" s="6" t="s">
        <v>62</v>
      </c>
      <c r="G13" s="6" t="s">
        <v>63</v>
      </c>
      <c r="H13" s="6"/>
      <c r="I13" t="s">
        <v>88</v>
      </c>
    </row>
    <row r="14" spans="1:10" ht="23.1" customHeight="1">
      <c r="A14" s="5" t="s">
        <v>59</v>
      </c>
      <c r="B14" t="s">
        <v>11</v>
      </c>
      <c r="C14" s="6">
        <v>1748</v>
      </c>
      <c r="D14" s="4" t="s">
        <v>89</v>
      </c>
      <c r="E14" s="4" t="s">
        <v>90</v>
      </c>
      <c r="F14" s="6" t="s">
        <v>62</v>
      </c>
      <c r="G14" s="6" t="s">
        <v>63</v>
      </c>
      <c r="H14" s="6"/>
      <c r="I14" t="s">
        <v>91</v>
      </c>
    </row>
    <row r="15" spans="1:10" ht="23.1" customHeight="1">
      <c r="A15" s="5" t="s">
        <v>59</v>
      </c>
      <c r="B15" t="s">
        <v>11</v>
      </c>
      <c r="C15" s="6">
        <v>1389</v>
      </c>
      <c r="D15" s="4" t="s">
        <v>92</v>
      </c>
      <c r="E15" s="4" t="s">
        <v>93</v>
      </c>
      <c r="F15" s="6" t="s">
        <v>62</v>
      </c>
      <c r="G15" s="6" t="s">
        <v>63</v>
      </c>
      <c r="H15" s="6"/>
      <c r="I15" t="s">
        <v>94</v>
      </c>
    </row>
    <row r="16" spans="1:10" ht="23.1" customHeight="1">
      <c r="A16" s="5" t="s">
        <v>59</v>
      </c>
      <c r="B16" t="s">
        <v>11</v>
      </c>
      <c r="C16" s="6">
        <v>1313</v>
      </c>
      <c r="D16" s="4" t="s">
        <v>95</v>
      </c>
      <c r="E16" s="4" t="s">
        <v>96</v>
      </c>
      <c r="F16" s="6" t="s">
        <v>62</v>
      </c>
      <c r="G16" s="6" t="s">
        <v>63</v>
      </c>
      <c r="H16" s="6"/>
      <c r="I16" t="s">
        <v>97</v>
      </c>
    </row>
    <row r="17" spans="1:9" ht="23.1" customHeight="1">
      <c r="A17" s="5" t="s">
        <v>59</v>
      </c>
      <c r="B17" t="s">
        <v>11</v>
      </c>
      <c r="C17" s="6">
        <v>989</v>
      </c>
      <c r="D17" s="4" t="s">
        <v>98</v>
      </c>
      <c r="E17" s="4" t="s">
        <v>99</v>
      </c>
      <c r="F17" s="6" t="s">
        <v>62</v>
      </c>
      <c r="G17" s="6" t="s">
        <v>63</v>
      </c>
      <c r="H17" s="6"/>
      <c r="I17" t="s">
        <v>100</v>
      </c>
    </row>
    <row r="18" spans="1:9" ht="23.1" customHeight="1">
      <c r="A18" s="5" t="s">
        <v>59</v>
      </c>
      <c r="B18" t="s">
        <v>11</v>
      </c>
      <c r="C18" s="6">
        <v>2011</v>
      </c>
      <c r="D18" s="4" t="s">
        <v>101</v>
      </c>
      <c r="E18" s="4" t="s">
        <v>102</v>
      </c>
      <c r="F18" s="6" t="s">
        <v>62</v>
      </c>
      <c r="G18" s="6" t="s">
        <v>63</v>
      </c>
      <c r="H18" s="6"/>
      <c r="I18" t="s">
        <v>103</v>
      </c>
    </row>
    <row r="19" spans="1:9" ht="23.1" customHeight="1">
      <c r="A19" s="5" t="s">
        <v>59</v>
      </c>
      <c r="B19" t="s">
        <v>11</v>
      </c>
      <c r="C19" s="6">
        <v>1822</v>
      </c>
      <c r="D19" s="4" t="s">
        <v>104</v>
      </c>
      <c r="E19" s="4" t="s">
        <v>105</v>
      </c>
      <c r="F19" s="6" t="s">
        <v>62</v>
      </c>
      <c r="G19" s="6" t="s">
        <v>63</v>
      </c>
      <c r="H19" s="6"/>
      <c r="I19" t="s">
        <v>106</v>
      </c>
    </row>
    <row r="20" spans="1:9" ht="23.1" customHeight="1">
      <c r="A20" s="5" t="s">
        <v>59</v>
      </c>
      <c r="B20" t="s">
        <v>11</v>
      </c>
      <c r="C20" s="6">
        <v>118</v>
      </c>
      <c r="D20" s="4" t="s">
        <v>107</v>
      </c>
      <c r="E20" s="4" t="s">
        <v>108</v>
      </c>
      <c r="F20" s="6" t="s">
        <v>62</v>
      </c>
      <c r="G20" s="6" t="s">
        <v>63</v>
      </c>
      <c r="H20" s="6"/>
      <c r="I20" t="s">
        <v>109</v>
      </c>
    </row>
    <row r="21" spans="1:9" ht="23.1" customHeight="1">
      <c r="A21" s="5" t="s">
        <v>59</v>
      </c>
      <c r="B21" t="s">
        <v>11</v>
      </c>
      <c r="C21" s="6">
        <v>119</v>
      </c>
      <c r="D21" s="4" t="s">
        <v>110</v>
      </c>
      <c r="E21" s="4" t="s">
        <v>111</v>
      </c>
      <c r="F21" s="6" t="s">
        <v>62</v>
      </c>
      <c r="G21" s="6" t="s">
        <v>63</v>
      </c>
      <c r="H21" s="6"/>
      <c r="I21" t="s">
        <v>112</v>
      </c>
    </row>
    <row r="22" spans="1:9" ht="23.1" customHeight="1">
      <c r="A22" s="5" t="s">
        <v>59</v>
      </c>
      <c r="B22" t="s">
        <v>11</v>
      </c>
      <c r="C22" s="6">
        <v>414</v>
      </c>
      <c r="D22" s="4" t="s">
        <v>113</v>
      </c>
      <c r="E22" s="4" t="s">
        <v>114</v>
      </c>
      <c r="F22" s="6" t="s">
        <v>62</v>
      </c>
      <c r="G22" s="6" t="s">
        <v>63</v>
      </c>
      <c r="H22" s="6"/>
      <c r="I22" t="s">
        <v>115</v>
      </c>
    </row>
    <row r="23" spans="1:9" ht="23.1" customHeight="1">
      <c r="A23" s="5" t="s">
        <v>59</v>
      </c>
      <c r="B23" t="s">
        <v>11</v>
      </c>
      <c r="C23" s="6">
        <v>448</v>
      </c>
      <c r="D23" s="4" t="s">
        <v>116</v>
      </c>
      <c r="E23" s="4" t="s">
        <v>117</v>
      </c>
      <c r="F23" s="6" t="s">
        <v>62</v>
      </c>
      <c r="G23" s="6" t="s">
        <v>63</v>
      </c>
      <c r="H23" s="6"/>
      <c r="I23" t="s">
        <v>118</v>
      </c>
    </row>
    <row r="24" spans="1:9" ht="23.1" customHeight="1">
      <c r="A24" s="5" t="s">
        <v>59</v>
      </c>
      <c r="B24" t="s">
        <v>11</v>
      </c>
      <c r="C24" s="6">
        <v>495</v>
      </c>
      <c r="D24" s="4" t="s">
        <v>119</v>
      </c>
      <c r="E24" s="4" t="s">
        <v>120</v>
      </c>
      <c r="F24" s="6" t="s">
        <v>62</v>
      </c>
      <c r="G24" s="6" t="s">
        <v>63</v>
      </c>
      <c r="H24" s="6"/>
      <c r="I24" t="s">
        <v>121</v>
      </c>
    </row>
    <row r="25" spans="1:9" ht="23.1" customHeight="1">
      <c r="A25" s="5" t="s">
        <v>59</v>
      </c>
      <c r="B25" t="s">
        <v>11</v>
      </c>
      <c r="C25" s="6">
        <v>1266</v>
      </c>
      <c r="D25" s="4" t="s">
        <v>122</v>
      </c>
      <c r="E25" s="4" t="s">
        <v>123</v>
      </c>
      <c r="F25" s="6" t="s">
        <v>62</v>
      </c>
      <c r="G25" s="6" t="s">
        <v>63</v>
      </c>
      <c r="H25" s="6"/>
      <c r="I25" t="s">
        <v>124</v>
      </c>
    </row>
    <row r="26" spans="1:9" ht="23.1" customHeight="1">
      <c r="A26" s="5" t="s">
        <v>59</v>
      </c>
      <c r="B26" t="s">
        <v>11</v>
      </c>
      <c r="C26" s="6">
        <v>2190</v>
      </c>
      <c r="D26" s="4" t="s">
        <v>125</v>
      </c>
      <c r="E26" s="4" t="s">
        <v>126</v>
      </c>
      <c r="F26" s="6" t="s">
        <v>62</v>
      </c>
      <c r="G26" s="6" t="s">
        <v>63</v>
      </c>
      <c r="H26" s="6"/>
      <c r="I26" t="s">
        <v>127</v>
      </c>
    </row>
    <row r="27" spans="1:9" ht="23.1" customHeight="1">
      <c r="A27" s="5" t="s">
        <v>59</v>
      </c>
      <c r="B27" t="s">
        <v>14</v>
      </c>
      <c r="C27" s="6">
        <v>14</v>
      </c>
      <c r="D27" s="4" t="s">
        <v>128</v>
      </c>
      <c r="E27" s="4" t="s">
        <v>129</v>
      </c>
      <c r="F27" s="6" t="s">
        <v>62</v>
      </c>
      <c r="G27" s="6" t="s">
        <v>63</v>
      </c>
      <c r="H27" s="6" t="s">
        <v>130</v>
      </c>
      <c r="I27" t="s">
        <v>131</v>
      </c>
    </row>
    <row r="28" spans="1:9" ht="23.1" customHeight="1">
      <c r="A28" s="5" t="s">
        <v>59</v>
      </c>
      <c r="B28" t="s">
        <v>14</v>
      </c>
      <c r="C28" s="6">
        <v>58</v>
      </c>
      <c r="D28" s="4" t="s">
        <v>132</v>
      </c>
      <c r="E28" s="4" t="s">
        <v>133</v>
      </c>
      <c r="F28" s="6" t="s">
        <v>62</v>
      </c>
      <c r="G28" s="6" t="s">
        <v>63</v>
      </c>
      <c r="H28" s="6"/>
      <c r="I28" t="s">
        <v>134</v>
      </c>
    </row>
    <row r="29" spans="1:9" ht="23.1" customHeight="1">
      <c r="A29" s="5" t="s">
        <v>59</v>
      </c>
      <c r="B29" t="s">
        <v>14</v>
      </c>
      <c r="C29" s="6">
        <v>125</v>
      </c>
      <c r="D29" s="4" t="s">
        <v>135</v>
      </c>
      <c r="E29" s="4" t="s">
        <v>136</v>
      </c>
      <c r="F29" s="6" t="s">
        <v>62</v>
      </c>
      <c r="G29" s="6" t="s">
        <v>63</v>
      </c>
      <c r="H29" s="6"/>
      <c r="I29" t="s">
        <v>137</v>
      </c>
    </row>
    <row r="30" spans="1:9" ht="23.1" customHeight="1">
      <c r="A30" s="5" t="s">
        <v>59</v>
      </c>
      <c r="B30" t="s">
        <v>14</v>
      </c>
      <c r="C30" s="6">
        <v>344</v>
      </c>
      <c r="D30" s="4" t="s">
        <v>138</v>
      </c>
      <c r="E30" s="4" t="s">
        <v>139</v>
      </c>
      <c r="F30" s="6" t="s">
        <v>62</v>
      </c>
      <c r="G30" s="6" t="s">
        <v>63</v>
      </c>
      <c r="H30" s="6"/>
      <c r="I30" t="s">
        <v>140</v>
      </c>
    </row>
    <row r="31" spans="1:9" ht="23.1" customHeight="1">
      <c r="A31" s="5" t="s">
        <v>59</v>
      </c>
      <c r="B31" t="s">
        <v>14</v>
      </c>
      <c r="C31" s="6">
        <v>345</v>
      </c>
      <c r="D31" s="4" t="s">
        <v>141</v>
      </c>
      <c r="E31" s="4" t="s">
        <v>142</v>
      </c>
      <c r="F31" s="6" t="s">
        <v>62</v>
      </c>
      <c r="G31" s="6" t="s">
        <v>63</v>
      </c>
      <c r="H31" s="6"/>
      <c r="I31" t="s">
        <v>143</v>
      </c>
    </row>
    <row r="32" spans="1:9" ht="23.1" customHeight="1">
      <c r="A32" s="5" t="s">
        <v>59</v>
      </c>
      <c r="B32" t="s">
        <v>14</v>
      </c>
      <c r="C32" s="6">
        <v>434</v>
      </c>
      <c r="D32" s="4" t="s">
        <v>144</v>
      </c>
      <c r="E32" s="4" t="s">
        <v>145</v>
      </c>
      <c r="F32" s="6" t="s">
        <v>62</v>
      </c>
      <c r="G32" s="6" t="s">
        <v>63</v>
      </c>
      <c r="H32" s="6"/>
      <c r="I32" t="s">
        <v>146</v>
      </c>
    </row>
    <row r="33" spans="1:9" ht="23.1" customHeight="1">
      <c r="A33" s="5" t="s">
        <v>59</v>
      </c>
      <c r="B33" t="s">
        <v>14</v>
      </c>
      <c r="C33" s="6">
        <v>459</v>
      </c>
      <c r="D33" s="4" t="s">
        <v>147</v>
      </c>
      <c r="E33" s="4" t="s">
        <v>148</v>
      </c>
      <c r="F33" s="6" t="s">
        <v>62</v>
      </c>
      <c r="G33" s="6" t="s">
        <v>63</v>
      </c>
      <c r="H33" s="6"/>
      <c r="I33" t="s">
        <v>149</v>
      </c>
    </row>
    <row r="34" spans="1:9" ht="23.1" customHeight="1">
      <c r="A34" s="5" t="s">
        <v>59</v>
      </c>
      <c r="B34" t="s">
        <v>14</v>
      </c>
      <c r="C34" s="6">
        <v>520</v>
      </c>
      <c r="D34" s="4" t="s">
        <v>150</v>
      </c>
      <c r="E34" s="4" t="s">
        <v>151</v>
      </c>
      <c r="F34" s="6" t="s">
        <v>62</v>
      </c>
      <c r="G34" s="6" t="s">
        <v>63</v>
      </c>
      <c r="H34" s="6"/>
      <c r="I34" t="s">
        <v>152</v>
      </c>
    </row>
    <row r="35" spans="1:9" ht="23.1" customHeight="1">
      <c r="A35" s="5" t="s">
        <v>59</v>
      </c>
      <c r="B35" t="s">
        <v>14</v>
      </c>
      <c r="C35" s="6">
        <v>541</v>
      </c>
      <c r="D35" s="4" t="s">
        <v>153</v>
      </c>
      <c r="E35" s="4" t="s">
        <v>154</v>
      </c>
      <c r="F35" s="6" t="s">
        <v>62</v>
      </c>
      <c r="G35" s="6" t="s">
        <v>63</v>
      </c>
      <c r="H35" s="6"/>
      <c r="I35" t="s">
        <v>155</v>
      </c>
    </row>
    <row r="36" spans="1:9" ht="23.1" customHeight="1">
      <c r="A36" s="5" t="s">
        <v>59</v>
      </c>
      <c r="B36" t="s">
        <v>14</v>
      </c>
      <c r="C36" s="6">
        <v>557</v>
      </c>
      <c r="D36" s="4" t="s">
        <v>156</v>
      </c>
      <c r="E36" s="4" t="s">
        <v>157</v>
      </c>
      <c r="F36" s="6" t="s">
        <v>62</v>
      </c>
      <c r="G36" s="6" t="s">
        <v>63</v>
      </c>
      <c r="H36" s="6"/>
      <c r="I36" t="s">
        <v>158</v>
      </c>
    </row>
    <row r="37" spans="1:9" ht="23.1" customHeight="1">
      <c r="A37" s="5" t="s">
        <v>59</v>
      </c>
      <c r="B37" t="s">
        <v>14</v>
      </c>
      <c r="C37" s="6">
        <v>657</v>
      </c>
      <c r="D37" s="4" t="s">
        <v>159</v>
      </c>
      <c r="E37" s="4" t="s">
        <v>160</v>
      </c>
      <c r="F37" s="6" t="s">
        <v>62</v>
      </c>
      <c r="G37" s="6" t="s">
        <v>63</v>
      </c>
      <c r="H37" s="6"/>
      <c r="I37" t="s">
        <v>161</v>
      </c>
    </row>
    <row r="38" spans="1:9" ht="23.1" customHeight="1">
      <c r="A38" s="5" t="s">
        <v>59</v>
      </c>
      <c r="B38" t="s">
        <v>14</v>
      </c>
      <c r="C38" s="6">
        <v>709</v>
      </c>
      <c r="D38" s="4" t="s">
        <v>162</v>
      </c>
      <c r="E38" s="4" t="s">
        <v>163</v>
      </c>
      <c r="F38" s="6" t="s">
        <v>62</v>
      </c>
      <c r="G38" s="6" t="s">
        <v>63</v>
      </c>
      <c r="H38" s="6"/>
      <c r="I38" t="s">
        <v>164</v>
      </c>
    </row>
    <row r="39" spans="1:9" ht="23.1" customHeight="1">
      <c r="A39" s="5" t="s">
        <v>59</v>
      </c>
      <c r="B39" t="s">
        <v>14</v>
      </c>
      <c r="C39" s="6">
        <v>796</v>
      </c>
      <c r="D39" s="4" t="s">
        <v>165</v>
      </c>
      <c r="E39" s="4" t="s">
        <v>166</v>
      </c>
      <c r="F39" s="6" t="s">
        <v>62</v>
      </c>
      <c r="G39" s="6" t="s">
        <v>63</v>
      </c>
      <c r="H39" s="6"/>
      <c r="I39" t="s">
        <v>167</v>
      </c>
    </row>
    <row r="40" spans="1:9" ht="23.1" customHeight="1">
      <c r="A40" s="5" t="s">
        <v>59</v>
      </c>
      <c r="B40" t="s">
        <v>14</v>
      </c>
      <c r="C40" s="6">
        <v>824</v>
      </c>
      <c r="D40" s="4" t="s">
        <v>168</v>
      </c>
      <c r="E40" s="4" t="s">
        <v>169</v>
      </c>
      <c r="F40" s="6" t="s">
        <v>62</v>
      </c>
      <c r="G40" s="6" t="s">
        <v>63</v>
      </c>
      <c r="H40" s="6"/>
      <c r="I40" t="s">
        <v>170</v>
      </c>
    </row>
    <row r="41" spans="1:9" ht="23.1" customHeight="1">
      <c r="A41" s="5" t="s">
        <v>59</v>
      </c>
      <c r="B41" t="s">
        <v>14</v>
      </c>
      <c r="C41" s="6">
        <v>859</v>
      </c>
      <c r="D41" s="4" t="s">
        <v>171</v>
      </c>
      <c r="E41" s="4" t="s">
        <v>172</v>
      </c>
      <c r="F41" s="6" t="s">
        <v>62</v>
      </c>
      <c r="G41" s="6" t="s">
        <v>63</v>
      </c>
      <c r="H41" s="6"/>
      <c r="I41" t="s">
        <v>173</v>
      </c>
    </row>
    <row r="42" spans="1:9" ht="23.1" customHeight="1">
      <c r="A42" s="5" t="s">
        <v>59</v>
      </c>
      <c r="B42" t="s">
        <v>14</v>
      </c>
      <c r="C42" s="6">
        <v>1108</v>
      </c>
      <c r="D42" s="4" t="s">
        <v>174</v>
      </c>
      <c r="E42" s="4" t="s">
        <v>175</v>
      </c>
      <c r="F42" s="6" t="s">
        <v>62</v>
      </c>
      <c r="G42" s="6" t="s">
        <v>63</v>
      </c>
      <c r="H42" s="6"/>
      <c r="I42" t="s">
        <v>176</v>
      </c>
    </row>
    <row r="43" spans="1:9" ht="23.1" customHeight="1">
      <c r="A43" s="5" t="s">
        <v>59</v>
      </c>
      <c r="B43" t="s">
        <v>14</v>
      </c>
      <c r="C43" s="6">
        <v>1309</v>
      </c>
      <c r="D43" s="4" t="s">
        <v>177</v>
      </c>
      <c r="E43" s="4" t="s">
        <v>178</v>
      </c>
      <c r="F43" s="6" t="s">
        <v>62</v>
      </c>
      <c r="G43" s="6" t="s">
        <v>63</v>
      </c>
      <c r="H43" s="6"/>
      <c r="I43" t="s">
        <v>179</v>
      </c>
    </row>
    <row r="44" spans="1:9" ht="23.1" customHeight="1">
      <c r="A44" s="5" t="s">
        <v>59</v>
      </c>
      <c r="B44" t="s">
        <v>14</v>
      </c>
      <c r="C44" s="6">
        <v>1768</v>
      </c>
      <c r="D44" s="4" t="s">
        <v>180</v>
      </c>
      <c r="E44" s="4" t="s">
        <v>181</v>
      </c>
      <c r="F44" s="6" t="s">
        <v>62</v>
      </c>
      <c r="G44" s="6" t="s">
        <v>63</v>
      </c>
      <c r="H44" s="6"/>
      <c r="I44" t="s">
        <v>182</v>
      </c>
    </row>
    <row r="45" spans="1:9" ht="23.1" customHeight="1">
      <c r="A45" s="5" t="s">
        <v>59</v>
      </c>
      <c r="B45" t="s">
        <v>14</v>
      </c>
      <c r="C45" s="6">
        <v>1790</v>
      </c>
      <c r="D45" s="4" t="s">
        <v>183</v>
      </c>
      <c r="E45" s="4" t="s">
        <v>184</v>
      </c>
      <c r="F45" s="6" t="s">
        <v>62</v>
      </c>
      <c r="G45" s="6" t="s">
        <v>63</v>
      </c>
      <c r="H45" s="6"/>
      <c r="I45" t="s">
        <v>185</v>
      </c>
    </row>
    <row r="46" spans="1:9" ht="23.1" customHeight="1">
      <c r="A46" s="5" t="s">
        <v>59</v>
      </c>
      <c r="B46" t="s">
        <v>14</v>
      </c>
      <c r="C46" s="6">
        <v>1071</v>
      </c>
      <c r="D46" s="4" t="s">
        <v>186</v>
      </c>
      <c r="E46" s="4" t="s">
        <v>187</v>
      </c>
      <c r="F46" s="6" t="s">
        <v>62</v>
      </c>
      <c r="G46" s="6" t="s">
        <v>63</v>
      </c>
      <c r="H46" s="6"/>
      <c r="I46" t="s">
        <v>188</v>
      </c>
    </row>
    <row r="47" spans="1:9" ht="23.1" customHeight="1">
      <c r="A47" s="5" t="s">
        <v>59</v>
      </c>
      <c r="B47" t="s">
        <v>14</v>
      </c>
      <c r="C47" s="6">
        <v>1859</v>
      </c>
      <c r="D47" s="4" t="s">
        <v>189</v>
      </c>
      <c r="E47" s="4" t="s">
        <v>190</v>
      </c>
      <c r="F47" s="6" t="s">
        <v>62</v>
      </c>
      <c r="G47" s="6" t="s">
        <v>63</v>
      </c>
      <c r="H47" s="6"/>
      <c r="I47" t="s">
        <v>191</v>
      </c>
    </row>
    <row r="48" spans="1:9" ht="23.1" customHeight="1">
      <c r="A48" s="5" t="s">
        <v>59</v>
      </c>
      <c r="B48" t="s">
        <v>14</v>
      </c>
      <c r="C48" s="6">
        <v>2000</v>
      </c>
      <c r="D48" s="4" t="s">
        <v>192</v>
      </c>
      <c r="E48" s="4" t="s">
        <v>193</v>
      </c>
      <c r="F48" s="6" t="s">
        <v>62</v>
      </c>
      <c r="G48" s="6" t="s">
        <v>63</v>
      </c>
      <c r="H48" s="6"/>
      <c r="I48" t="s">
        <v>194</v>
      </c>
    </row>
    <row r="49" spans="1:9" ht="23.1" customHeight="1">
      <c r="A49" s="5" t="s">
        <v>59</v>
      </c>
      <c r="B49" t="s">
        <v>17</v>
      </c>
      <c r="C49" s="6">
        <v>1</v>
      </c>
      <c r="D49" s="4" t="s">
        <v>195</v>
      </c>
      <c r="E49" s="4" t="s">
        <v>196</v>
      </c>
      <c r="F49" s="6" t="s">
        <v>62</v>
      </c>
      <c r="G49" s="6" t="s">
        <v>63</v>
      </c>
      <c r="H49" s="6"/>
      <c r="I49" t="s">
        <v>197</v>
      </c>
    </row>
    <row r="50" spans="1:9" ht="23.1" customHeight="1">
      <c r="A50" s="5" t="s">
        <v>59</v>
      </c>
      <c r="B50" t="s">
        <v>17</v>
      </c>
      <c r="C50" s="6">
        <v>217</v>
      </c>
      <c r="D50" s="4" t="s">
        <v>198</v>
      </c>
      <c r="E50" s="4" t="s">
        <v>199</v>
      </c>
      <c r="F50" s="6" t="s">
        <v>62</v>
      </c>
      <c r="G50" s="6" t="s">
        <v>63</v>
      </c>
      <c r="H50" s="6"/>
      <c r="I50" t="s">
        <v>200</v>
      </c>
    </row>
    <row r="51" spans="1:9" ht="23.1" customHeight="1">
      <c r="A51" s="5" t="s">
        <v>59</v>
      </c>
      <c r="B51" t="s">
        <v>17</v>
      </c>
      <c r="C51" s="6">
        <v>219</v>
      </c>
      <c r="D51" s="4" t="s">
        <v>201</v>
      </c>
      <c r="E51" s="4" t="s">
        <v>202</v>
      </c>
      <c r="F51" s="6" t="s">
        <v>62</v>
      </c>
      <c r="G51" s="6" t="s">
        <v>63</v>
      </c>
      <c r="H51" s="6"/>
      <c r="I51" t="s">
        <v>203</v>
      </c>
    </row>
    <row r="52" spans="1:9" ht="23.1" customHeight="1">
      <c r="A52" s="5" t="s">
        <v>59</v>
      </c>
      <c r="B52" t="s">
        <v>17</v>
      </c>
      <c r="C52" s="6">
        <v>242</v>
      </c>
      <c r="D52" s="4" t="s">
        <v>204</v>
      </c>
      <c r="E52" s="4" t="s">
        <v>205</v>
      </c>
      <c r="F52" s="6" t="s">
        <v>62</v>
      </c>
      <c r="G52" s="6" t="s">
        <v>63</v>
      </c>
      <c r="H52" s="6"/>
      <c r="I52" t="s">
        <v>206</v>
      </c>
    </row>
    <row r="53" spans="1:9" ht="23.1" customHeight="1">
      <c r="A53" s="5" t="s">
        <v>59</v>
      </c>
      <c r="B53" t="s">
        <v>17</v>
      </c>
      <c r="C53" s="6">
        <v>383</v>
      </c>
      <c r="D53" s="4" t="s">
        <v>207</v>
      </c>
      <c r="E53" s="4" t="s">
        <v>208</v>
      </c>
      <c r="F53" s="6" t="s">
        <v>62</v>
      </c>
      <c r="G53" s="6" t="s">
        <v>63</v>
      </c>
      <c r="H53" s="6"/>
      <c r="I53" t="s">
        <v>209</v>
      </c>
    </row>
    <row r="54" spans="1:9" ht="23.1" customHeight="1">
      <c r="A54" s="5" t="s">
        <v>59</v>
      </c>
      <c r="B54" t="s">
        <v>17</v>
      </c>
      <c r="C54" s="6">
        <v>387</v>
      </c>
      <c r="D54" s="4" t="s">
        <v>210</v>
      </c>
      <c r="E54" s="4" t="s">
        <v>211</v>
      </c>
      <c r="F54" s="6" t="s">
        <v>62</v>
      </c>
      <c r="G54" s="6" t="s">
        <v>63</v>
      </c>
      <c r="H54" s="6"/>
      <c r="I54" t="s">
        <v>212</v>
      </c>
    </row>
    <row r="55" spans="1:9" ht="23.1" customHeight="1">
      <c r="A55" s="5" t="s">
        <v>59</v>
      </c>
      <c r="B55" t="s">
        <v>17</v>
      </c>
      <c r="C55" s="6">
        <v>389</v>
      </c>
      <c r="D55" s="4" t="s">
        <v>213</v>
      </c>
      <c r="E55" s="4" t="s">
        <v>214</v>
      </c>
      <c r="F55" s="6" t="s">
        <v>62</v>
      </c>
      <c r="G55" s="6" t="s">
        <v>63</v>
      </c>
      <c r="H55" s="6"/>
      <c r="I55" t="s">
        <v>215</v>
      </c>
    </row>
    <row r="56" spans="1:9" ht="23.1" customHeight="1">
      <c r="A56" s="5" t="s">
        <v>59</v>
      </c>
      <c r="B56" t="s">
        <v>17</v>
      </c>
      <c r="C56" s="6">
        <v>205</v>
      </c>
      <c r="D56" s="4" t="s">
        <v>216</v>
      </c>
      <c r="E56" s="4" t="s">
        <v>217</v>
      </c>
      <c r="F56" s="6" t="s">
        <v>62</v>
      </c>
      <c r="G56" s="6" t="s">
        <v>63</v>
      </c>
      <c r="H56" s="6"/>
      <c r="I56" t="s">
        <v>218</v>
      </c>
    </row>
    <row r="57" spans="1:9" ht="23.1" customHeight="1">
      <c r="A57" s="5" t="s">
        <v>59</v>
      </c>
      <c r="B57" t="s">
        <v>17</v>
      </c>
      <c r="C57" s="6">
        <v>290</v>
      </c>
      <c r="D57" s="4" t="s">
        <v>219</v>
      </c>
      <c r="E57" s="4" t="s">
        <v>220</v>
      </c>
      <c r="F57" s="6" t="s">
        <v>62</v>
      </c>
      <c r="G57" s="6" t="s">
        <v>63</v>
      </c>
      <c r="H57" s="6"/>
      <c r="I57" t="s">
        <v>221</v>
      </c>
    </row>
    <row r="58" spans="1:9" ht="23.1" customHeight="1">
      <c r="A58" s="5" t="s">
        <v>59</v>
      </c>
      <c r="B58" t="s">
        <v>17</v>
      </c>
      <c r="C58" s="6">
        <v>349</v>
      </c>
      <c r="D58" s="4" t="s">
        <v>222</v>
      </c>
      <c r="E58" s="4" t="s">
        <v>223</v>
      </c>
      <c r="F58" s="6" t="s">
        <v>62</v>
      </c>
      <c r="G58" s="6" t="s">
        <v>63</v>
      </c>
      <c r="H58" s="6"/>
      <c r="I58" t="s">
        <v>224</v>
      </c>
    </row>
    <row r="59" spans="1:9" ht="23.1" customHeight="1">
      <c r="A59" s="5" t="s">
        <v>59</v>
      </c>
      <c r="B59" t="s">
        <v>17</v>
      </c>
      <c r="C59" s="6">
        <v>350</v>
      </c>
      <c r="D59" s="4" t="s">
        <v>225</v>
      </c>
      <c r="E59" s="4" t="s">
        <v>226</v>
      </c>
      <c r="F59" s="6" t="s">
        <v>62</v>
      </c>
      <c r="G59" s="6" t="s">
        <v>63</v>
      </c>
      <c r="H59" s="6"/>
      <c r="I59" t="s">
        <v>227</v>
      </c>
    </row>
    <row r="60" spans="1:9" ht="23.1" customHeight="1">
      <c r="A60" s="5" t="s">
        <v>59</v>
      </c>
      <c r="B60" t="s">
        <v>17</v>
      </c>
      <c r="C60" s="6">
        <v>202</v>
      </c>
      <c r="D60" s="4" t="s">
        <v>228</v>
      </c>
      <c r="E60" s="4" t="s">
        <v>229</v>
      </c>
      <c r="F60" s="6" t="s">
        <v>62</v>
      </c>
      <c r="G60" s="6" t="s">
        <v>63</v>
      </c>
      <c r="H60" s="6"/>
      <c r="I60" t="s">
        <v>230</v>
      </c>
    </row>
    <row r="61" spans="1:9" ht="23.1" customHeight="1">
      <c r="A61" s="5" t="s">
        <v>59</v>
      </c>
      <c r="B61" t="s">
        <v>17</v>
      </c>
      <c r="C61" s="6">
        <v>409</v>
      </c>
      <c r="D61" s="4" t="s">
        <v>231</v>
      </c>
      <c r="E61" s="4" t="s">
        <v>232</v>
      </c>
      <c r="F61" s="6" t="s">
        <v>62</v>
      </c>
      <c r="G61" s="6" t="s">
        <v>63</v>
      </c>
      <c r="H61" s="6"/>
      <c r="I61" t="s">
        <v>233</v>
      </c>
    </row>
    <row r="62" spans="1:9" ht="23.1" customHeight="1">
      <c r="A62" s="5" t="s">
        <v>59</v>
      </c>
      <c r="B62" t="s">
        <v>17</v>
      </c>
      <c r="C62" s="6">
        <v>500</v>
      </c>
      <c r="D62" s="4" t="s">
        <v>234</v>
      </c>
      <c r="E62" s="4" t="s">
        <v>235</v>
      </c>
      <c r="F62" s="6" t="s">
        <v>62</v>
      </c>
      <c r="G62" s="6" t="s">
        <v>63</v>
      </c>
      <c r="H62" s="6"/>
      <c r="I62" t="s">
        <v>236</v>
      </c>
    </row>
    <row r="63" spans="1:9" ht="23.1" customHeight="1">
      <c r="A63" s="5" t="s">
        <v>59</v>
      </c>
      <c r="B63" t="s">
        <v>17</v>
      </c>
      <c r="C63" s="6">
        <v>575</v>
      </c>
      <c r="D63" s="4" t="s">
        <v>237</v>
      </c>
      <c r="E63" s="4" t="s">
        <v>238</v>
      </c>
      <c r="F63" s="6" t="s">
        <v>62</v>
      </c>
      <c r="G63" s="6" t="s">
        <v>63</v>
      </c>
      <c r="H63" s="6"/>
      <c r="I63" t="s">
        <v>239</v>
      </c>
    </row>
    <row r="64" spans="1:9" ht="23.1" customHeight="1">
      <c r="A64" s="5" t="s">
        <v>59</v>
      </c>
      <c r="B64" t="s">
        <v>17</v>
      </c>
      <c r="C64" s="6">
        <v>594</v>
      </c>
      <c r="D64" s="4" t="s">
        <v>240</v>
      </c>
      <c r="E64" s="4" t="s">
        <v>126</v>
      </c>
      <c r="F64" s="6" t="s">
        <v>62</v>
      </c>
      <c r="G64" s="6" t="s">
        <v>63</v>
      </c>
      <c r="H64" s="6"/>
      <c r="I64" t="s">
        <v>241</v>
      </c>
    </row>
    <row r="65" spans="1:9" ht="23.1" customHeight="1">
      <c r="A65" s="5" t="s">
        <v>59</v>
      </c>
      <c r="B65" t="s">
        <v>17</v>
      </c>
      <c r="C65" s="6">
        <v>645</v>
      </c>
      <c r="D65" s="4" t="s">
        <v>242</v>
      </c>
      <c r="E65" s="4" t="s">
        <v>243</v>
      </c>
      <c r="F65" s="6" t="s">
        <v>62</v>
      </c>
      <c r="G65" s="6" t="s">
        <v>63</v>
      </c>
      <c r="H65" s="6"/>
      <c r="I65" t="s">
        <v>244</v>
      </c>
    </row>
    <row r="66" spans="1:9" ht="23.1" customHeight="1">
      <c r="A66" s="5" t="s">
        <v>59</v>
      </c>
      <c r="B66" t="s">
        <v>17</v>
      </c>
      <c r="C66" s="6">
        <v>697</v>
      </c>
      <c r="D66" s="4" t="s">
        <v>245</v>
      </c>
      <c r="E66" s="4" t="s">
        <v>246</v>
      </c>
      <c r="F66" s="6" t="s">
        <v>62</v>
      </c>
      <c r="G66" s="6" t="s">
        <v>63</v>
      </c>
      <c r="H66" s="6"/>
      <c r="I66" t="s">
        <v>247</v>
      </c>
    </row>
    <row r="67" spans="1:9" ht="23.1" customHeight="1">
      <c r="A67" s="5" t="s">
        <v>59</v>
      </c>
      <c r="B67" t="s">
        <v>17</v>
      </c>
      <c r="C67" s="6">
        <v>884</v>
      </c>
      <c r="D67" s="4" t="s">
        <v>248</v>
      </c>
      <c r="E67" s="4" t="s">
        <v>249</v>
      </c>
      <c r="F67" s="6" t="s">
        <v>62</v>
      </c>
      <c r="G67" s="6" t="s">
        <v>63</v>
      </c>
      <c r="H67" s="6"/>
      <c r="I67" t="s">
        <v>250</v>
      </c>
    </row>
    <row r="68" spans="1:9" ht="23.1" customHeight="1">
      <c r="A68" s="5" t="s">
        <v>59</v>
      </c>
      <c r="B68" t="s">
        <v>17</v>
      </c>
      <c r="C68" s="6">
        <v>1002</v>
      </c>
      <c r="D68" s="4" t="s">
        <v>251</v>
      </c>
      <c r="E68" s="4" t="s">
        <v>252</v>
      </c>
      <c r="F68" s="6" t="s">
        <v>62</v>
      </c>
      <c r="G68" s="6" t="s">
        <v>63</v>
      </c>
      <c r="H68" s="6"/>
      <c r="I68" t="s">
        <v>253</v>
      </c>
    </row>
    <row r="69" spans="1:9" ht="23.1" customHeight="1">
      <c r="A69" s="5" t="s">
        <v>59</v>
      </c>
      <c r="B69" t="s">
        <v>17</v>
      </c>
      <c r="C69" s="6">
        <v>1207</v>
      </c>
      <c r="D69" s="4" t="s">
        <v>254</v>
      </c>
      <c r="E69" s="4" t="s">
        <v>255</v>
      </c>
      <c r="F69" s="6" t="s">
        <v>62</v>
      </c>
      <c r="G69" s="6" t="s">
        <v>63</v>
      </c>
      <c r="H69" s="6"/>
      <c r="I69" t="s">
        <v>256</v>
      </c>
    </row>
    <row r="70" spans="1:9" ht="23.1" customHeight="1">
      <c r="A70" s="5" t="s">
        <v>59</v>
      </c>
      <c r="B70" t="s">
        <v>17</v>
      </c>
      <c r="C70" s="6">
        <v>2215</v>
      </c>
      <c r="D70" s="4" t="s">
        <v>257</v>
      </c>
      <c r="E70" s="4" t="s">
        <v>258</v>
      </c>
      <c r="F70" s="6" t="s">
        <v>62</v>
      </c>
      <c r="G70" s="6" t="s">
        <v>63</v>
      </c>
      <c r="H70" s="6"/>
      <c r="I70" t="s">
        <v>259</v>
      </c>
    </row>
    <row r="71" spans="1:9" ht="23.1" customHeight="1">
      <c r="A71" s="5" t="s">
        <v>59</v>
      </c>
      <c r="B71" t="s">
        <v>19</v>
      </c>
      <c r="C71" s="6">
        <v>26</v>
      </c>
      <c r="D71" s="4" t="s">
        <v>260</v>
      </c>
      <c r="E71" s="4" t="s">
        <v>261</v>
      </c>
      <c r="F71" s="6" t="s">
        <v>62</v>
      </c>
      <c r="G71" s="6" t="s">
        <v>63</v>
      </c>
      <c r="H71" s="6"/>
      <c r="I71" t="s">
        <v>262</v>
      </c>
    </row>
    <row r="72" spans="1:9" ht="23.1" customHeight="1">
      <c r="A72" s="5" t="s">
        <v>59</v>
      </c>
      <c r="B72" t="s">
        <v>19</v>
      </c>
      <c r="C72" s="6">
        <v>27</v>
      </c>
      <c r="D72" s="4" t="s">
        <v>263</v>
      </c>
      <c r="E72" s="4" t="s">
        <v>264</v>
      </c>
      <c r="F72" s="6" t="s">
        <v>62</v>
      </c>
      <c r="G72" s="6" t="s">
        <v>63</v>
      </c>
      <c r="H72" s="6"/>
      <c r="I72" t="s">
        <v>265</v>
      </c>
    </row>
    <row r="73" spans="1:9" ht="23.1" customHeight="1">
      <c r="A73" s="5" t="s">
        <v>59</v>
      </c>
      <c r="B73" t="s">
        <v>19</v>
      </c>
      <c r="C73" s="6">
        <v>88</v>
      </c>
      <c r="D73" s="4" t="s">
        <v>266</v>
      </c>
      <c r="E73" s="4" t="s">
        <v>267</v>
      </c>
      <c r="F73" s="6" t="s">
        <v>62</v>
      </c>
      <c r="G73" s="6" t="s">
        <v>63</v>
      </c>
      <c r="H73" s="6"/>
      <c r="I73" t="s">
        <v>268</v>
      </c>
    </row>
    <row r="74" spans="1:9" ht="23.1" customHeight="1">
      <c r="A74" s="5" t="s">
        <v>59</v>
      </c>
      <c r="B74" t="s">
        <v>19</v>
      </c>
      <c r="C74" s="6">
        <v>283</v>
      </c>
      <c r="D74" s="4" t="s">
        <v>269</v>
      </c>
      <c r="E74" s="4" t="s">
        <v>270</v>
      </c>
      <c r="F74" s="6" t="s">
        <v>62</v>
      </c>
      <c r="G74" s="6" t="s">
        <v>63</v>
      </c>
      <c r="H74" s="6"/>
      <c r="I74" t="s">
        <v>271</v>
      </c>
    </row>
    <row r="75" spans="1:9" ht="23.1" customHeight="1">
      <c r="A75" s="5" t="s">
        <v>59</v>
      </c>
      <c r="B75" t="s">
        <v>19</v>
      </c>
      <c r="C75" s="6">
        <v>977</v>
      </c>
      <c r="D75" s="4" t="s">
        <v>272</v>
      </c>
      <c r="E75" s="4" t="s">
        <v>273</v>
      </c>
      <c r="F75" s="6" t="s">
        <v>62</v>
      </c>
      <c r="G75" s="6" t="s">
        <v>63</v>
      </c>
      <c r="H75" s="6"/>
      <c r="I75" t="s">
        <v>274</v>
      </c>
    </row>
    <row r="76" spans="1:9" ht="23.1" customHeight="1">
      <c r="A76" s="5" t="s">
        <v>59</v>
      </c>
      <c r="B76" t="s">
        <v>19</v>
      </c>
      <c r="C76" s="6">
        <v>905</v>
      </c>
      <c r="D76" s="4" t="s">
        <v>275</v>
      </c>
      <c r="E76" s="4" t="s">
        <v>276</v>
      </c>
      <c r="F76" s="6" t="s">
        <v>62</v>
      </c>
      <c r="G76" s="6" t="s">
        <v>63</v>
      </c>
      <c r="H76" s="6"/>
      <c r="I76" t="s">
        <v>277</v>
      </c>
    </row>
    <row r="77" spans="1:9" ht="23.1" customHeight="1">
      <c r="A77" s="5" t="s">
        <v>59</v>
      </c>
      <c r="B77" t="s">
        <v>19</v>
      </c>
      <c r="C77" s="6">
        <v>922</v>
      </c>
      <c r="D77" s="4" t="s">
        <v>278</v>
      </c>
      <c r="E77" s="4" t="s">
        <v>279</v>
      </c>
      <c r="F77" s="6" t="s">
        <v>62</v>
      </c>
      <c r="G77" s="6" t="s">
        <v>63</v>
      </c>
      <c r="H77" s="6"/>
      <c r="I77" t="s">
        <v>280</v>
      </c>
    </row>
    <row r="78" spans="1:9" ht="23.1" customHeight="1">
      <c r="A78" s="5" t="s">
        <v>59</v>
      </c>
      <c r="B78" t="s">
        <v>19</v>
      </c>
      <c r="C78" s="6">
        <v>917</v>
      </c>
      <c r="D78" s="4" t="s">
        <v>281</v>
      </c>
      <c r="E78" s="4" t="s">
        <v>282</v>
      </c>
      <c r="F78" s="6" t="s">
        <v>62</v>
      </c>
      <c r="G78" s="6" t="s">
        <v>63</v>
      </c>
      <c r="H78" s="6"/>
      <c r="I78" t="s">
        <v>283</v>
      </c>
    </row>
    <row r="79" spans="1:9" ht="23.1" customHeight="1">
      <c r="A79" s="5" t="s">
        <v>59</v>
      </c>
      <c r="B79" t="s">
        <v>19</v>
      </c>
      <c r="C79" s="6">
        <v>844</v>
      </c>
      <c r="D79" s="4" t="s">
        <v>284</v>
      </c>
      <c r="E79" s="4" t="s">
        <v>285</v>
      </c>
      <c r="F79" s="6" t="s">
        <v>62</v>
      </c>
      <c r="G79" s="6" t="s">
        <v>63</v>
      </c>
      <c r="H79" s="6"/>
      <c r="I79" t="s">
        <v>286</v>
      </c>
    </row>
    <row r="80" spans="1:9" ht="23.1" customHeight="1">
      <c r="A80" s="5" t="s">
        <v>59</v>
      </c>
      <c r="B80" t="s">
        <v>19</v>
      </c>
      <c r="C80" s="6">
        <v>392</v>
      </c>
      <c r="D80" s="4" t="s">
        <v>287</v>
      </c>
      <c r="E80" s="4" t="s">
        <v>288</v>
      </c>
      <c r="F80" s="6" t="s">
        <v>62</v>
      </c>
      <c r="G80" s="6" t="s">
        <v>63</v>
      </c>
      <c r="H80" s="6"/>
      <c r="I80" t="s">
        <v>289</v>
      </c>
    </row>
    <row r="81" spans="1:9" ht="23.1" customHeight="1">
      <c r="A81" s="5" t="s">
        <v>59</v>
      </c>
      <c r="B81" t="s">
        <v>19</v>
      </c>
      <c r="C81" s="6">
        <v>680</v>
      </c>
      <c r="D81" s="4" t="s">
        <v>290</v>
      </c>
      <c r="E81" s="4" t="s">
        <v>291</v>
      </c>
      <c r="F81" s="6" t="s">
        <v>62</v>
      </c>
      <c r="G81" s="6" t="s">
        <v>63</v>
      </c>
      <c r="H81" s="6"/>
      <c r="I81" t="s">
        <v>292</v>
      </c>
    </row>
    <row r="82" spans="1:9" ht="23.1" customHeight="1">
      <c r="A82" s="5" t="s">
        <v>59</v>
      </c>
      <c r="B82" t="s">
        <v>19</v>
      </c>
      <c r="C82" s="6">
        <v>1089</v>
      </c>
      <c r="D82" s="4" t="s">
        <v>293</v>
      </c>
      <c r="E82" s="4" t="s">
        <v>294</v>
      </c>
      <c r="F82" s="6" t="s">
        <v>62</v>
      </c>
      <c r="G82" s="6" t="s">
        <v>63</v>
      </c>
      <c r="H82" s="6"/>
      <c r="I82" t="s">
        <v>295</v>
      </c>
    </row>
    <row r="83" spans="1:9" ht="23.1" customHeight="1">
      <c r="A83" s="5" t="s">
        <v>59</v>
      </c>
      <c r="B83" t="s">
        <v>19</v>
      </c>
      <c r="C83" s="6">
        <v>455</v>
      </c>
      <c r="D83" s="4" t="s">
        <v>296</v>
      </c>
      <c r="E83" s="4" t="s">
        <v>297</v>
      </c>
      <c r="F83" s="6" t="s">
        <v>62</v>
      </c>
      <c r="G83" s="6" t="s">
        <v>63</v>
      </c>
      <c r="H83" s="6"/>
      <c r="I83" t="s">
        <v>298</v>
      </c>
    </row>
    <row r="84" spans="1:9" ht="23.1" customHeight="1">
      <c r="A84" s="5" t="s">
        <v>59</v>
      </c>
      <c r="B84" t="s">
        <v>19</v>
      </c>
      <c r="C84" s="6">
        <v>561</v>
      </c>
      <c r="D84" s="4" t="s">
        <v>299</v>
      </c>
      <c r="E84" s="4" t="s">
        <v>300</v>
      </c>
      <c r="F84" s="6" t="s">
        <v>62</v>
      </c>
      <c r="G84" s="6" t="s">
        <v>63</v>
      </c>
      <c r="H84" s="6"/>
      <c r="I84" t="s">
        <v>301</v>
      </c>
    </row>
    <row r="85" spans="1:9" ht="23.1" customHeight="1">
      <c r="A85" s="5" t="s">
        <v>59</v>
      </c>
      <c r="B85" t="s">
        <v>19</v>
      </c>
      <c r="C85" s="6">
        <v>506</v>
      </c>
      <c r="D85" s="4" t="s">
        <v>302</v>
      </c>
      <c r="E85" s="4" t="s">
        <v>303</v>
      </c>
      <c r="F85" s="6" t="s">
        <v>62</v>
      </c>
      <c r="G85" s="6" t="s">
        <v>63</v>
      </c>
      <c r="H85" s="6"/>
      <c r="I85" t="s">
        <v>304</v>
      </c>
    </row>
    <row r="86" spans="1:9" ht="23.1" customHeight="1">
      <c r="A86" s="5" t="s">
        <v>59</v>
      </c>
      <c r="B86" t="s">
        <v>19</v>
      </c>
      <c r="C86" s="6">
        <v>628</v>
      </c>
      <c r="D86" s="4" t="s">
        <v>305</v>
      </c>
      <c r="E86" s="4" t="s">
        <v>306</v>
      </c>
      <c r="F86" s="6" t="s">
        <v>62</v>
      </c>
      <c r="G86" s="6" t="s">
        <v>63</v>
      </c>
      <c r="H86" s="6"/>
      <c r="I86" t="s">
        <v>307</v>
      </c>
    </row>
    <row r="87" spans="1:9" ht="23.1" customHeight="1">
      <c r="A87" s="5" t="s">
        <v>59</v>
      </c>
      <c r="B87" t="s">
        <v>19</v>
      </c>
      <c r="C87" s="6">
        <v>976</v>
      </c>
      <c r="D87" s="4" t="s">
        <v>308</v>
      </c>
      <c r="E87" s="4" t="s">
        <v>309</v>
      </c>
      <c r="F87" s="6" t="s">
        <v>62</v>
      </c>
      <c r="G87" s="6" t="s">
        <v>63</v>
      </c>
      <c r="H87" s="6"/>
      <c r="I87" t="s">
        <v>310</v>
      </c>
    </row>
    <row r="88" spans="1:9" ht="23.1" customHeight="1">
      <c r="A88" s="5" t="s">
        <v>59</v>
      </c>
      <c r="B88" t="s">
        <v>19</v>
      </c>
      <c r="C88" s="6">
        <v>1051</v>
      </c>
      <c r="D88" s="4" t="s">
        <v>311</v>
      </c>
      <c r="E88" s="4" t="s">
        <v>312</v>
      </c>
      <c r="F88" s="6" t="s">
        <v>62</v>
      </c>
      <c r="G88" s="6" t="s">
        <v>63</v>
      </c>
      <c r="H88" s="6"/>
      <c r="I88" t="s">
        <v>313</v>
      </c>
    </row>
    <row r="89" spans="1:9" ht="23.1" customHeight="1">
      <c r="A89" s="5" t="s">
        <v>59</v>
      </c>
      <c r="B89" t="s">
        <v>19</v>
      </c>
      <c r="C89" s="6">
        <v>1122</v>
      </c>
      <c r="D89" s="4" t="s">
        <v>314</v>
      </c>
      <c r="E89" s="4" t="s">
        <v>315</v>
      </c>
      <c r="F89" s="6" t="s">
        <v>62</v>
      </c>
      <c r="G89" s="6" t="s">
        <v>63</v>
      </c>
      <c r="H89" s="6"/>
      <c r="I89" t="s">
        <v>316</v>
      </c>
    </row>
    <row r="90" spans="1:9" ht="23.1" customHeight="1">
      <c r="A90" s="5" t="s">
        <v>59</v>
      </c>
      <c r="B90" t="s">
        <v>19</v>
      </c>
      <c r="C90" s="6">
        <v>1460</v>
      </c>
      <c r="D90" s="4" t="s">
        <v>317</v>
      </c>
      <c r="E90" s="4" t="s">
        <v>318</v>
      </c>
      <c r="F90" s="6" t="s">
        <v>62</v>
      </c>
      <c r="G90" s="6" t="s">
        <v>63</v>
      </c>
      <c r="H90" s="6"/>
      <c r="I90" t="s">
        <v>319</v>
      </c>
    </row>
    <row r="91" spans="1:9" ht="23.1" customHeight="1">
      <c r="A91" s="5" t="s">
        <v>59</v>
      </c>
      <c r="B91" t="s">
        <v>19</v>
      </c>
      <c r="C91" s="6">
        <v>2089</v>
      </c>
      <c r="D91" s="4" t="s">
        <v>320</v>
      </c>
      <c r="E91" s="4" t="s">
        <v>321</v>
      </c>
      <c r="F91" s="6" t="s">
        <v>62</v>
      </c>
      <c r="G91" s="6" t="s">
        <v>63</v>
      </c>
      <c r="H91" s="6"/>
      <c r="I91" t="s">
        <v>322</v>
      </c>
    </row>
    <row r="92" spans="1:9" ht="23.1" customHeight="1">
      <c r="A92" s="5" t="s">
        <v>59</v>
      </c>
      <c r="B92" t="s">
        <v>19</v>
      </c>
      <c r="C92" s="6">
        <v>2418</v>
      </c>
      <c r="D92" s="4" t="s">
        <v>323</v>
      </c>
      <c r="E92" s="4" t="s">
        <v>324</v>
      </c>
      <c r="F92" s="6" t="s">
        <v>62</v>
      </c>
      <c r="G92" s="6" t="s">
        <v>63</v>
      </c>
      <c r="H92" s="6"/>
      <c r="I92" t="s">
        <v>325</v>
      </c>
    </row>
    <row r="93" spans="1:9" ht="23.1" customHeight="1">
      <c r="A93" s="5" t="s">
        <v>59</v>
      </c>
      <c r="B93" t="s">
        <v>21</v>
      </c>
      <c r="C93" s="6">
        <v>35</v>
      </c>
      <c r="D93" s="4" t="s">
        <v>326</v>
      </c>
      <c r="E93" s="4" t="s">
        <v>327</v>
      </c>
      <c r="F93" s="6" t="s">
        <v>62</v>
      </c>
      <c r="G93" s="6" t="s">
        <v>63</v>
      </c>
      <c r="H93" s="6"/>
      <c r="I93" t="s">
        <v>328</v>
      </c>
    </row>
    <row r="94" spans="1:9" ht="23.1" customHeight="1">
      <c r="A94" s="5" t="s">
        <v>59</v>
      </c>
      <c r="B94" t="s">
        <v>21</v>
      </c>
      <c r="C94" s="6">
        <v>704</v>
      </c>
      <c r="D94" s="4" t="s">
        <v>329</v>
      </c>
      <c r="E94" s="4" t="s">
        <v>330</v>
      </c>
      <c r="F94" s="6" t="s">
        <v>62</v>
      </c>
      <c r="G94" s="6" t="s">
        <v>63</v>
      </c>
      <c r="H94" s="6"/>
      <c r="I94" t="s">
        <v>331</v>
      </c>
    </row>
    <row r="95" spans="1:9" ht="23.1" customHeight="1">
      <c r="A95" s="5" t="s">
        <v>59</v>
      </c>
      <c r="B95" t="s">
        <v>21</v>
      </c>
      <c r="C95" s="6">
        <v>69</v>
      </c>
      <c r="D95" s="4" t="s">
        <v>332</v>
      </c>
      <c r="E95" s="4" t="s">
        <v>333</v>
      </c>
      <c r="F95" s="6" t="s">
        <v>62</v>
      </c>
      <c r="G95" s="6" t="s">
        <v>63</v>
      </c>
      <c r="H95" s="6"/>
      <c r="I95" t="s">
        <v>334</v>
      </c>
    </row>
    <row r="96" spans="1:9" ht="23.1" customHeight="1">
      <c r="A96" s="5" t="s">
        <v>59</v>
      </c>
      <c r="B96" t="s">
        <v>21</v>
      </c>
      <c r="C96" s="6">
        <v>278</v>
      </c>
      <c r="D96" s="4" t="s">
        <v>335</v>
      </c>
      <c r="E96" s="4" t="s">
        <v>336</v>
      </c>
      <c r="F96" s="6" t="s">
        <v>62</v>
      </c>
      <c r="G96" s="6" t="s">
        <v>63</v>
      </c>
      <c r="H96" s="6"/>
      <c r="I96" t="s">
        <v>337</v>
      </c>
    </row>
    <row r="97" spans="1:9" ht="23.1" customHeight="1">
      <c r="A97" s="5" t="s">
        <v>59</v>
      </c>
      <c r="B97" t="s">
        <v>21</v>
      </c>
      <c r="C97" s="6">
        <v>367</v>
      </c>
      <c r="D97" s="4" t="s">
        <v>338</v>
      </c>
      <c r="E97" s="4" t="s">
        <v>339</v>
      </c>
      <c r="F97" s="6" t="s">
        <v>62</v>
      </c>
      <c r="G97" s="6" t="s">
        <v>63</v>
      </c>
      <c r="H97" s="6"/>
      <c r="I97" t="s">
        <v>340</v>
      </c>
    </row>
    <row r="98" spans="1:9" ht="23.1" customHeight="1">
      <c r="A98" s="5" t="s">
        <v>59</v>
      </c>
      <c r="B98" t="s">
        <v>21</v>
      </c>
      <c r="C98" s="6">
        <v>374</v>
      </c>
      <c r="D98" s="4" t="s">
        <v>341</v>
      </c>
      <c r="E98" s="4" t="s">
        <v>342</v>
      </c>
      <c r="F98" s="6" t="s">
        <v>62</v>
      </c>
      <c r="G98" s="6" t="s">
        <v>63</v>
      </c>
      <c r="H98" s="6"/>
      <c r="I98" t="s">
        <v>343</v>
      </c>
    </row>
    <row r="99" spans="1:9" ht="23.1" customHeight="1">
      <c r="A99" s="5" t="s">
        <v>59</v>
      </c>
      <c r="B99" t="s">
        <v>21</v>
      </c>
      <c r="C99" s="6">
        <v>441</v>
      </c>
      <c r="D99" s="4" t="s">
        <v>344</v>
      </c>
      <c r="E99" s="4" t="s">
        <v>345</v>
      </c>
      <c r="F99" s="6" t="s">
        <v>62</v>
      </c>
      <c r="G99" s="6" t="s">
        <v>63</v>
      </c>
      <c r="H99" s="6"/>
      <c r="I99" t="s">
        <v>346</v>
      </c>
    </row>
    <row r="100" spans="1:9" ht="23.1" customHeight="1">
      <c r="A100" s="5" t="s">
        <v>59</v>
      </c>
      <c r="B100" t="s">
        <v>21</v>
      </c>
      <c r="C100" s="6">
        <v>744</v>
      </c>
      <c r="D100" s="4" t="s">
        <v>347</v>
      </c>
      <c r="E100" s="4" t="s">
        <v>348</v>
      </c>
      <c r="F100" s="6" t="s">
        <v>62</v>
      </c>
      <c r="G100" s="6" t="s">
        <v>63</v>
      </c>
      <c r="H100" s="6"/>
      <c r="I100" t="s">
        <v>349</v>
      </c>
    </row>
    <row r="101" spans="1:9" ht="23.1" customHeight="1">
      <c r="A101" s="5" t="s">
        <v>59</v>
      </c>
      <c r="B101" t="s">
        <v>21</v>
      </c>
      <c r="C101" s="6">
        <v>1385</v>
      </c>
      <c r="D101" s="4" t="s">
        <v>350</v>
      </c>
      <c r="E101" s="4" t="s">
        <v>351</v>
      </c>
      <c r="F101" s="6" t="s">
        <v>62</v>
      </c>
      <c r="G101" s="6" t="s">
        <v>63</v>
      </c>
      <c r="H101" s="6"/>
      <c r="I101" t="s">
        <v>352</v>
      </c>
    </row>
    <row r="102" spans="1:9" ht="23.1" customHeight="1">
      <c r="A102" s="5" t="s">
        <v>59</v>
      </c>
      <c r="B102" t="s">
        <v>21</v>
      </c>
      <c r="C102" s="6">
        <v>1539</v>
      </c>
      <c r="D102" s="4" t="s">
        <v>353</v>
      </c>
      <c r="E102" s="4" t="s">
        <v>354</v>
      </c>
      <c r="F102" s="6" t="s">
        <v>62</v>
      </c>
      <c r="G102" s="6" t="s">
        <v>63</v>
      </c>
      <c r="H102" s="6"/>
      <c r="I102" t="s">
        <v>355</v>
      </c>
    </row>
    <row r="103" spans="1:9" ht="23.1" customHeight="1">
      <c r="A103" s="5" t="s">
        <v>59</v>
      </c>
      <c r="B103" t="s">
        <v>21</v>
      </c>
      <c r="C103" s="6">
        <v>1608</v>
      </c>
      <c r="D103" s="4" t="s">
        <v>356</v>
      </c>
      <c r="E103" s="4" t="s">
        <v>357</v>
      </c>
      <c r="F103" s="6" t="s">
        <v>62</v>
      </c>
      <c r="G103" s="6" t="s">
        <v>63</v>
      </c>
      <c r="H103" s="6"/>
      <c r="I103" t="s">
        <v>358</v>
      </c>
    </row>
    <row r="104" spans="1:9" ht="23.1" customHeight="1">
      <c r="A104" s="5" t="s">
        <v>59</v>
      </c>
      <c r="B104" t="s">
        <v>21</v>
      </c>
      <c r="C104" s="6">
        <v>2529</v>
      </c>
      <c r="D104" s="4" t="s">
        <v>359</v>
      </c>
      <c r="E104" s="4" t="s">
        <v>360</v>
      </c>
      <c r="F104" s="6" t="s">
        <v>62</v>
      </c>
      <c r="G104" s="6" t="s">
        <v>63</v>
      </c>
      <c r="H104" s="6"/>
      <c r="I104" t="s">
        <v>361</v>
      </c>
    </row>
    <row r="105" spans="1:9" ht="23.1" customHeight="1">
      <c r="A105" s="5" t="s">
        <v>59</v>
      </c>
      <c r="B105" t="s">
        <v>24</v>
      </c>
      <c r="C105" s="6">
        <v>21</v>
      </c>
      <c r="D105" s="4" t="s">
        <v>362</v>
      </c>
      <c r="E105" s="4" t="s">
        <v>363</v>
      </c>
      <c r="F105" s="6" t="s">
        <v>62</v>
      </c>
      <c r="G105" s="6" t="s">
        <v>63</v>
      </c>
      <c r="H105" s="6" t="s">
        <v>130</v>
      </c>
      <c r="I105" t="s">
        <v>364</v>
      </c>
    </row>
    <row r="106" spans="1:9" ht="23.1" customHeight="1">
      <c r="A106" s="5" t="s">
        <v>59</v>
      </c>
      <c r="B106" t="s">
        <v>24</v>
      </c>
      <c r="C106" s="6">
        <v>83</v>
      </c>
      <c r="D106" s="4" t="s">
        <v>365</v>
      </c>
      <c r="E106" s="4" t="s">
        <v>366</v>
      </c>
      <c r="F106" s="6" t="s">
        <v>62</v>
      </c>
      <c r="G106" s="6" t="s">
        <v>63</v>
      </c>
      <c r="H106" s="6"/>
      <c r="I106" t="s">
        <v>367</v>
      </c>
    </row>
    <row r="107" spans="1:9" ht="23.1" customHeight="1">
      <c r="A107" s="5" t="s">
        <v>59</v>
      </c>
      <c r="B107" t="s">
        <v>24</v>
      </c>
      <c r="C107" s="6">
        <v>141</v>
      </c>
      <c r="D107" s="4" t="s">
        <v>368</v>
      </c>
      <c r="E107" s="4" t="s">
        <v>261</v>
      </c>
      <c r="F107" s="6" t="s">
        <v>62</v>
      </c>
      <c r="G107" s="6" t="s">
        <v>63</v>
      </c>
      <c r="H107" s="6"/>
      <c r="I107" t="s">
        <v>369</v>
      </c>
    </row>
    <row r="108" spans="1:9" ht="23.1" customHeight="1">
      <c r="A108" s="5" t="s">
        <v>59</v>
      </c>
      <c r="B108" t="s">
        <v>24</v>
      </c>
      <c r="C108" s="6">
        <v>160</v>
      </c>
      <c r="D108" s="4" t="s">
        <v>370</v>
      </c>
      <c r="E108" s="4" t="s">
        <v>371</v>
      </c>
      <c r="F108" s="6" t="s">
        <v>62</v>
      </c>
      <c r="G108" s="6" t="s">
        <v>63</v>
      </c>
      <c r="H108" s="6"/>
      <c r="I108" t="s">
        <v>372</v>
      </c>
    </row>
    <row r="109" spans="1:9" ht="23.1" customHeight="1">
      <c r="A109" s="5" t="s">
        <v>59</v>
      </c>
      <c r="B109" t="s">
        <v>24</v>
      </c>
      <c r="C109" s="6">
        <v>203</v>
      </c>
      <c r="D109" s="4" t="s">
        <v>373</v>
      </c>
      <c r="E109" s="4" t="s">
        <v>374</v>
      </c>
      <c r="F109" s="6" t="s">
        <v>62</v>
      </c>
      <c r="G109" s="6" t="s">
        <v>63</v>
      </c>
      <c r="H109" s="6"/>
      <c r="I109" t="s">
        <v>375</v>
      </c>
    </row>
    <row r="110" spans="1:9" ht="23.1" customHeight="1">
      <c r="A110" s="5" t="s">
        <v>59</v>
      </c>
      <c r="B110" t="s">
        <v>24</v>
      </c>
      <c r="C110" s="6">
        <v>206</v>
      </c>
      <c r="D110" s="4" t="s">
        <v>376</v>
      </c>
      <c r="E110" s="4" t="s">
        <v>377</v>
      </c>
      <c r="F110" s="6" t="s">
        <v>62</v>
      </c>
      <c r="G110" s="6" t="s">
        <v>63</v>
      </c>
      <c r="H110" s="6"/>
      <c r="I110" t="s">
        <v>378</v>
      </c>
    </row>
    <row r="111" spans="1:9" ht="23.1" customHeight="1">
      <c r="A111" s="5" t="s">
        <v>59</v>
      </c>
      <c r="B111" t="s">
        <v>24</v>
      </c>
      <c r="C111" s="6">
        <v>234</v>
      </c>
      <c r="D111" s="4" t="s">
        <v>379</v>
      </c>
      <c r="E111" s="4" t="s">
        <v>380</v>
      </c>
      <c r="F111" s="6" t="s">
        <v>62</v>
      </c>
      <c r="G111" s="6" t="s">
        <v>63</v>
      </c>
      <c r="H111" s="6"/>
      <c r="I111" t="s">
        <v>381</v>
      </c>
    </row>
    <row r="112" spans="1:9" ht="23.1" customHeight="1">
      <c r="A112" s="5" t="s">
        <v>59</v>
      </c>
      <c r="B112" t="s">
        <v>24</v>
      </c>
      <c r="C112" s="6">
        <v>237</v>
      </c>
      <c r="D112" s="4" t="s">
        <v>382</v>
      </c>
      <c r="E112" s="4" t="s">
        <v>383</v>
      </c>
      <c r="F112" s="6" t="s">
        <v>62</v>
      </c>
      <c r="G112" s="6" t="s">
        <v>63</v>
      </c>
      <c r="H112" s="6"/>
      <c r="I112" t="s">
        <v>384</v>
      </c>
    </row>
    <row r="113" spans="1:9" ht="23.1" customHeight="1">
      <c r="A113" s="5" t="s">
        <v>59</v>
      </c>
      <c r="B113" t="s">
        <v>24</v>
      </c>
      <c r="C113" s="6">
        <v>876</v>
      </c>
      <c r="D113" s="4" t="s">
        <v>385</v>
      </c>
      <c r="E113" s="4" t="s">
        <v>386</v>
      </c>
      <c r="F113" s="6" t="s">
        <v>62</v>
      </c>
      <c r="G113" s="6" t="s">
        <v>63</v>
      </c>
      <c r="H113" s="6"/>
      <c r="I113" t="s">
        <v>387</v>
      </c>
    </row>
    <row r="114" spans="1:9" ht="23.1" customHeight="1">
      <c r="A114" s="5" t="s">
        <v>59</v>
      </c>
      <c r="B114" t="s">
        <v>24</v>
      </c>
      <c r="C114" s="6">
        <v>1290</v>
      </c>
      <c r="D114" s="4" t="s">
        <v>388</v>
      </c>
      <c r="E114" s="4" t="s">
        <v>389</v>
      </c>
      <c r="F114" s="6" t="s">
        <v>62</v>
      </c>
      <c r="G114" s="6" t="s">
        <v>63</v>
      </c>
      <c r="H114" s="6"/>
      <c r="I114" t="s">
        <v>390</v>
      </c>
    </row>
    <row r="115" spans="1:9" ht="23.1" customHeight="1">
      <c r="A115" s="5" t="s">
        <v>59</v>
      </c>
      <c r="B115" t="s">
        <v>27</v>
      </c>
      <c r="C115" s="6">
        <v>20</v>
      </c>
      <c r="D115" s="4" t="s">
        <v>391</v>
      </c>
      <c r="E115" s="4" t="s">
        <v>392</v>
      </c>
      <c r="F115" s="6" t="s">
        <v>62</v>
      </c>
      <c r="G115" s="6" t="s">
        <v>63</v>
      </c>
      <c r="H115" s="6" t="s">
        <v>130</v>
      </c>
      <c r="I115" t="s">
        <v>393</v>
      </c>
    </row>
    <row r="116" spans="1:9" ht="23.1" customHeight="1">
      <c r="A116" s="5" t="s">
        <v>59</v>
      </c>
      <c r="B116" t="s">
        <v>27</v>
      </c>
      <c r="C116" s="6">
        <v>225</v>
      </c>
      <c r="D116" s="4" t="s">
        <v>394</v>
      </c>
      <c r="E116" s="4" t="s">
        <v>395</v>
      </c>
      <c r="F116" s="6" t="s">
        <v>62</v>
      </c>
      <c r="G116" s="6" t="s">
        <v>63</v>
      </c>
      <c r="H116" s="6"/>
      <c r="I116" t="s">
        <v>396</v>
      </c>
    </row>
    <row r="117" spans="1:9" ht="23.1" customHeight="1">
      <c r="A117" s="5" t="s">
        <v>59</v>
      </c>
      <c r="B117" t="s">
        <v>27</v>
      </c>
      <c r="C117" s="6">
        <v>232</v>
      </c>
      <c r="D117" s="4" t="s">
        <v>397</v>
      </c>
      <c r="E117" s="4" t="s">
        <v>398</v>
      </c>
      <c r="F117" s="6" t="s">
        <v>62</v>
      </c>
      <c r="G117" s="6" t="s">
        <v>63</v>
      </c>
      <c r="H117" s="6"/>
      <c r="I117" t="s">
        <v>399</v>
      </c>
    </row>
    <row r="118" spans="1:9" ht="23.1" customHeight="1">
      <c r="A118" s="5" t="s">
        <v>59</v>
      </c>
      <c r="B118" t="s">
        <v>27</v>
      </c>
      <c r="C118" s="6">
        <v>496</v>
      </c>
      <c r="D118" s="4" t="s">
        <v>400</v>
      </c>
      <c r="E118" s="4" t="s">
        <v>401</v>
      </c>
      <c r="F118" s="6" t="s">
        <v>62</v>
      </c>
      <c r="G118" s="6" t="s">
        <v>63</v>
      </c>
      <c r="H118" s="6"/>
      <c r="I118" t="s">
        <v>402</v>
      </c>
    </row>
    <row r="119" spans="1:9" ht="23.1" customHeight="1">
      <c r="A119" s="5" t="s">
        <v>59</v>
      </c>
      <c r="B119" t="s">
        <v>27</v>
      </c>
      <c r="C119" s="6">
        <v>682</v>
      </c>
      <c r="D119" s="4" t="s">
        <v>403</v>
      </c>
      <c r="E119" s="4" t="s">
        <v>404</v>
      </c>
      <c r="F119" s="6" t="s">
        <v>62</v>
      </c>
      <c r="G119" s="6" t="s">
        <v>63</v>
      </c>
      <c r="H119" s="6"/>
      <c r="I119" t="s">
        <v>405</v>
      </c>
    </row>
    <row r="120" spans="1:9" ht="23.1" customHeight="1">
      <c r="A120" s="5" t="s">
        <v>59</v>
      </c>
      <c r="B120" t="s">
        <v>27</v>
      </c>
      <c r="C120" s="6">
        <v>933</v>
      </c>
      <c r="D120" s="4" t="s">
        <v>406</v>
      </c>
      <c r="E120" s="4" t="s">
        <v>407</v>
      </c>
      <c r="F120" s="6" t="s">
        <v>62</v>
      </c>
      <c r="G120" s="6" t="s">
        <v>63</v>
      </c>
      <c r="H120" s="6"/>
      <c r="I120" t="s">
        <v>408</v>
      </c>
    </row>
    <row r="121" spans="1:9" ht="23.1" customHeight="1">
      <c r="A121" s="5" t="s">
        <v>59</v>
      </c>
      <c r="B121" t="s">
        <v>27</v>
      </c>
      <c r="C121" s="6">
        <v>1047</v>
      </c>
      <c r="D121" s="4" t="s">
        <v>409</v>
      </c>
      <c r="E121" s="4" t="s">
        <v>410</v>
      </c>
      <c r="F121" s="6" t="s">
        <v>62</v>
      </c>
      <c r="G121" s="6" t="s">
        <v>63</v>
      </c>
      <c r="H121" s="6"/>
      <c r="I121" t="s">
        <v>411</v>
      </c>
    </row>
    <row r="122" spans="1:9" ht="23.1" customHeight="1">
      <c r="A122" s="5" t="s">
        <v>59</v>
      </c>
      <c r="B122" t="s">
        <v>27</v>
      </c>
      <c r="C122" s="6">
        <v>1021</v>
      </c>
      <c r="D122" s="4" t="s">
        <v>412</v>
      </c>
      <c r="E122" s="4" t="s">
        <v>413</v>
      </c>
      <c r="F122" s="6" t="s">
        <v>62</v>
      </c>
      <c r="G122" s="6" t="s">
        <v>63</v>
      </c>
      <c r="H122" s="6"/>
      <c r="I122" t="s">
        <v>414</v>
      </c>
    </row>
    <row r="123" spans="1:9" ht="23.1" customHeight="1">
      <c r="A123" s="5" t="s">
        <v>59</v>
      </c>
      <c r="B123" t="s">
        <v>27</v>
      </c>
      <c r="C123" s="6">
        <v>1544</v>
      </c>
      <c r="D123" s="4" t="s">
        <v>415</v>
      </c>
      <c r="E123" s="4" t="s">
        <v>416</v>
      </c>
      <c r="F123" s="6" t="s">
        <v>62</v>
      </c>
      <c r="G123" s="6" t="s">
        <v>63</v>
      </c>
      <c r="H123" s="6"/>
      <c r="I123" t="s">
        <v>417</v>
      </c>
    </row>
    <row r="124" spans="1:9" ht="23.1" customHeight="1">
      <c r="A124" s="5" t="s">
        <v>59</v>
      </c>
      <c r="B124" t="s">
        <v>27</v>
      </c>
      <c r="C124" s="6">
        <v>1598</v>
      </c>
      <c r="D124" s="4" t="s">
        <v>418</v>
      </c>
      <c r="E124" s="4" t="s">
        <v>419</v>
      </c>
      <c r="F124" s="6" t="s">
        <v>62</v>
      </c>
      <c r="G124" s="6" t="s">
        <v>63</v>
      </c>
      <c r="H124" s="6"/>
      <c r="I124" t="s">
        <v>420</v>
      </c>
    </row>
    <row r="125" spans="1:9" ht="23.1" customHeight="1">
      <c r="A125" s="5" t="s">
        <v>59</v>
      </c>
      <c r="B125" t="s">
        <v>27</v>
      </c>
      <c r="C125" s="6">
        <v>1700</v>
      </c>
      <c r="D125" s="4" t="s">
        <v>421</v>
      </c>
      <c r="E125" s="4" t="s">
        <v>422</v>
      </c>
      <c r="F125" s="6" t="s">
        <v>62</v>
      </c>
      <c r="G125" s="6" t="s">
        <v>63</v>
      </c>
      <c r="H125" s="6"/>
      <c r="I125" t="s">
        <v>423</v>
      </c>
    </row>
    <row r="126" spans="1:9" ht="23.1" customHeight="1">
      <c r="A126" s="5" t="s">
        <v>59</v>
      </c>
      <c r="B126" t="s">
        <v>27</v>
      </c>
      <c r="C126" s="6">
        <v>2073</v>
      </c>
      <c r="D126" s="4" t="s">
        <v>424</v>
      </c>
      <c r="E126" s="4" t="s">
        <v>425</v>
      </c>
      <c r="F126" s="6" t="s">
        <v>62</v>
      </c>
      <c r="G126" s="6" t="s">
        <v>63</v>
      </c>
      <c r="H126" s="6"/>
      <c r="I126" t="s">
        <v>426</v>
      </c>
    </row>
    <row r="127" spans="1:9" ht="23.1" customHeight="1">
      <c r="A127" s="5" t="s">
        <v>59</v>
      </c>
      <c r="B127" t="s">
        <v>27</v>
      </c>
      <c r="C127" s="6">
        <v>1614</v>
      </c>
      <c r="D127" s="4" t="s">
        <v>427</v>
      </c>
      <c r="E127" s="4" t="s">
        <v>428</v>
      </c>
      <c r="F127" s="6" t="s">
        <v>62</v>
      </c>
      <c r="G127" s="6" t="s">
        <v>63</v>
      </c>
      <c r="H127" s="6"/>
      <c r="I127" t="s">
        <v>429</v>
      </c>
    </row>
    <row r="128" spans="1:9" ht="23.1" customHeight="1">
      <c r="A128" s="5" t="s">
        <v>59</v>
      </c>
      <c r="B128" t="s">
        <v>27</v>
      </c>
      <c r="C128" s="6">
        <v>2696</v>
      </c>
      <c r="D128" s="4" t="s">
        <v>430</v>
      </c>
      <c r="E128" s="4" t="s">
        <v>431</v>
      </c>
      <c r="F128" s="6" t="s">
        <v>62</v>
      </c>
      <c r="G128" s="6" t="s">
        <v>63</v>
      </c>
      <c r="H128" s="6"/>
      <c r="I128" t="s">
        <v>432</v>
      </c>
    </row>
    <row r="129" spans="1:9" ht="23.1" customHeight="1">
      <c r="A129" s="5" t="s">
        <v>59</v>
      </c>
      <c r="B129" t="s">
        <v>27</v>
      </c>
      <c r="C129" s="6">
        <v>1475</v>
      </c>
      <c r="D129" s="4" t="s">
        <v>433</v>
      </c>
      <c r="E129" s="4" t="s">
        <v>434</v>
      </c>
      <c r="F129" s="6" t="s">
        <v>62</v>
      </c>
      <c r="G129" s="6" t="s">
        <v>63</v>
      </c>
      <c r="H129" s="6"/>
      <c r="I129" t="s">
        <v>435</v>
      </c>
    </row>
    <row r="130" spans="1:9" ht="23.1" customHeight="1">
      <c r="A130" s="5" t="s">
        <v>59</v>
      </c>
      <c r="B130" t="s">
        <v>30</v>
      </c>
      <c r="C130" s="6">
        <v>94</v>
      </c>
      <c r="D130" s="4" t="s">
        <v>436</v>
      </c>
      <c r="E130" s="4" t="s">
        <v>437</v>
      </c>
      <c r="F130" s="6" t="s">
        <v>62</v>
      </c>
      <c r="G130" s="6" t="s">
        <v>63</v>
      </c>
      <c r="H130" s="6"/>
      <c r="I130" t="s">
        <v>438</v>
      </c>
    </row>
    <row r="131" spans="1:9" ht="23.1" customHeight="1">
      <c r="A131" s="5" t="s">
        <v>59</v>
      </c>
      <c r="B131" t="s">
        <v>30</v>
      </c>
      <c r="C131" s="6">
        <v>144</v>
      </c>
      <c r="D131" s="4" t="s">
        <v>439</v>
      </c>
      <c r="E131" s="4" t="s">
        <v>440</v>
      </c>
      <c r="F131" s="6" t="s">
        <v>62</v>
      </c>
      <c r="G131" s="6" t="s">
        <v>63</v>
      </c>
      <c r="H131" s="6"/>
      <c r="I131" t="s">
        <v>441</v>
      </c>
    </row>
    <row r="132" spans="1:9" ht="23.1" customHeight="1">
      <c r="A132" s="5" t="s">
        <v>59</v>
      </c>
      <c r="B132" t="s">
        <v>30</v>
      </c>
      <c r="C132" s="6">
        <v>145</v>
      </c>
      <c r="D132" s="4" t="s">
        <v>442</v>
      </c>
      <c r="E132" s="4" t="s">
        <v>443</v>
      </c>
      <c r="F132" s="6" t="s">
        <v>62</v>
      </c>
      <c r="G132" s="6" t="s">
        <v>63</v>
      </c>
      <c r="H132" s="6"/>
      <c r="I132" t="s">
        <v>444</v>
      </c>
    </row>
    <row r="133" spans="1:9" ht="23.1" customHeight="1">
      <c r="A133" s="5" t="s">
        <v>59</v>
      </c>
      <c r="B133" t="s">
        <v>30</v>
      </c>
      <c r="C133" s="6">
        <v>100</v>
      </c>
      <c r="D133" s="4" t="s">
        <v>445</v>
      </c>
      <c r="E133" s="4" t="s">
        <v>446</v>
      </c>
      <c r="F133" s="6" t="s">
        <v>62</v>
      </c>
      <c r="G133" s="6" t="s">
        <v>63</v>
      </c>
      <c r="H133" s="6"/>
      <c r="I133" t="s">
        <v>447</v>
      </c>
    </row>
    <row r="134" spans="1:9" ht="23.1" customHeight="1">
      <c r="A134" s="5" t="s">
        <v>59</v>
      </c>
      <c r="B134" t="s">
        <v>30</v>
      </c>
      <c r="C134" s="6">
        <v>101</v>
      </c>
      <c r="D134" s="4" t="s">
        <v>448</v>
      </c>
      <c r="E134" s="4" t="s">
        <v>449</v>
      </c>
      <c r="F134" s="6" t="s">
        <v>62</v>
      </c>
      <c r="G134" s="6" t="s">
        <v>63</v>
      </c>
      <c r="H134" s="6"/>
      <c r="I134" t="s">
        <v>450</v>
      </c>
    </row>
    <row r="135" spans="1:9" ht="23.1" customHeight="1">
      <c r="A135" s="5" t="s">
        <v>59</v>
      </c>
      <c r="B135" t="s">
        <v>30</v>
      </c>
      <c r="C135" s="6">
        <v>104</v>
      </c>
      <c r="D135" s="4" t="s">
        <v>451</v>
      </c>
      <c r="E135" s="4" t="s">
        <v>452</v>
      </c>
      <c r="F135" s="6" t="s">
        <v>62</v>
      </c>
      <c r="G135" s="6" t="s">
        <v>63</v>
      </c>
      <c r="H135" s="6"/>
      <c r="I135" t="s">
        <v>453</v>
      </c>
    </row>
    <row r="136" spans="1:9" ht="23.1" customHeight="1">
      <c r="A136" s="5" t="s">
        <v>59</v>
      </c>
      <c r="B136" t="s">
        <v>30</v>
      </c>
      <c r="C136" s="6">
        <v>111</v>
      </c>
      <c r="D136" s="4" t="s">
        <v>454</v>
      </c>
      <c r="E136" s="4" t="s">
        <v>455</v>
      </c>
      <c r="F136" s="6" t="s">
        <v>62</v>
      </c>
      <c r="G136" s="6" t="s">
        <v>63</v>
      </c>
      <c r="H136" s="6"/>
      <c r="I136" t="s">
        <v>456</v>
      </c>
    </row>
    <row r="137" spans="1:9" ht="23.1" customHeight="1">
      <c r="A137" s="5" t="s">
        <v>59</v>
      </c>
      <c r="B137" t="s">
        <v>30</v>
      </c>
      <c r="C137" s="6">
        <v>112</v>
      </c>
      <c r="D137" s="4" t="s">
        <v>457</v>
      </c>
      <c r="E137" s="4" t="s">
        <v>458</v>
      </c>
      <c r="F137" s="6" t="s">
        <v>62</v>
      </c>
      <c r="G137" s="6" t="s">
        <v>63</v>
      </c>
      <c r="H137" s="6"/>
      <c r="I137" t="s">
        <v>459</v>
      </c>
    </row>
    <row r="138" spans="1:9" ht="23.1" customHeight="1">
      <c r="A138" s="5" t="s">
        <v>59</v>
      </c>
      <c r="B138" t="s">
        <v>30</v>
      </c>
      <c r="C138" s="6">
        <v>110</v>
      </c>
      <c r="D138" s="4" t="s">
        <v>460</v>
      </c>
      <c r="E138" s="4" t="s">
        <v>461</v>
      </c>
      <c r="F138" s="6" t="s">
        <v>62</v>
      </c>
      <c r="G138" s="6" t="s">
        <v>63</v>
      </c>
      <c r="H138" s="6"/>
      <c r="I138" t="s">
        <v>462</v>
      </c>
    </row>
    <row r="139" spans="1:9" ht="23.1" customHeight="1">
      <c r="A139" s="5" t="s">
        <v>59</v>
      </c>
      <c r="B139" t="s">
        <v>30</v>
      </c>
      <c r="C139" s="6">
        <v>226</v>
      </c>
      <c r="D139" s="4" t="s">
        <v>463</v>
      </c>
      <c r="E139" s="4" t="s">
        <v>464</v>
      </c>
      <c r="F139" s="6" t="s">
        <v>62</v>
      </c>
      <c r="G139" s="6" t="s">
        <v>63</v>
      </c>
      <c r="H139" s="6"/>
      <c r="I139" t="s">
        <v>465</v>
      </c>
    </row>
    <row r="140" spans="1:9" ht="23.1" customHeight="1">
      <c r="A140" s="5" t="s">
        <v>59</v>
      </c>
      <c r="B140" t="s">
        <v>30</v>
      </c>
      <c r="C140" s="6">
        <v>257</v>
      </c>
      <c r="D140" s="4" t="s">
        <v>466</v>
      </c>
      <c r="E140" s="4" t="s">
        <v>467</v>
      </c>
      <c r="F140" s="6" t="s">
        <v>62</v>
      </c>
      <c r="G140" s="6" t="s">
        <v>63</v>
      </c>
      <c r="H140" s="6"/>
      <c r="I140" t="s">
        <v>468</v>
      </c>
    </row>
    <row r="141" spans="1:9" ht="23.1" customHeight="1">
      <c r="A141" s="5" t="s">
        <v>59</v>
      </c>
      <c r="B141" t="s">
        <v>30</v>
      </c>
      <c r="C141" s="6">
        <v>404</v>
      </c>
      <c r="D141" s="4" t="s">
        <v>469</v>
      </c>
      <c r="E141" s="4" t="s">
        <v>470</v>
      </c>
      <c r="F141" s="6" t="s">
        <v>62</v>
      </c>
      <c r="G141" s="6" t="s">
        <v>63</v>
      </c>
      <c r="H141" s="6"/>
      <c r="I141" t="s">
        <v>471</v>
      </c>
    </row>
    <row r="142" spans="1:9" ht="23.1" customHeight="1">
      <c r="A142" s="5" t="s">
        <v>59</v>
      </c>
      <c r="B142" t="s">
        <v>30</v>
      </c>
      <c r="C142" s="6">
        <v>543</v>
      </c>
      <c r="D142" s="4" t="s">
        <v>472</v>
      </c>
      <c r="E142" s="4" t="s">
        <v>473</v>
      </c>
      <c r="F142" s="6" t="s">
        <v>62</v>
      </c>
      <c r="G142" s="6" t="s">
        <v>63</v>
      </c>
      <c r="H142" s="6"/>
      <c r="I142" t="s">
        <v>474</v>
      </c>
    </row>
    <row r="143" spans="1:9" ht="23.1" customHeight="1">
      <c r="A143" s="5" t="s">
        <v>59</v>
      </c>
      <c r="B143" t="s">
        <v>30</v>
      </c>
      <c r="C143" s="6">
        <v>572</v>
      </c>
      <c r="D143" s="4" t="s">
        <v>475</v>
      </c>
      <c r="E143" s="4" t="s">
        <v>476</v>
      </c>
      <c r="F143" s="6" t="s">
        <v>62</v>
      </c>
      <c r="G143" s="6" t="s">
        <v>63</v>
      </c>
      <c r="H143" s="6"/>
      <c r="I143" t="s">
        <v>477</v>
      </c>
    </row>
    <row r="144" spans="1:9" ht="23.1" customHeight="1">
      <c r="A144" s="5" t="s">
        <v>59</v>
      </c>
      <c r="B144" t="s">
        <v>30</v>
      </c>
      <c r="C144" s="6">
        <v>617</v>
      </c>
      <c r="D144" s="4" t="s">
        <v>478</v>
      </c>
      <c r="E144" s="4" t="s">
        <v>479</v>
      </c>
      <c r="F144" s="6" t="s">
        <v>62</v>
      </c>
      <c r="G144" s="6" t="s">
        <v>63</v>
      </c>
      <c r="H144" s="6"/>
      <c r="I144" t="s">
        <v>480</v>
      </c>
    </row>
    <row r="145" spans="1:9" ht="23.1" customHeight="1">
      <c r="A145" s="5" t="s">
        <v>59</v>
      </c>
      <c r="B145" t="s">
        <v>30</v>
      </c>
      <c r="C145" s="6">
        <v>637</v>
      </c>
      <c r="D145" s="4" t="s">
        <v>481</v>
      </c>
      <c r="E145" s="4" t="s">
        <v>482</v>
      </c>
      <c r="F145" s="6" t="s">
        <v>62</v>
      </c>
      <c r="G145" s="6" t="s">
        <v>63</v>
      </c>
      <c r="H145" s="6"/>
      <c r="I145" t="s">
        <v>483</v>
      </c>
    </row>
    <row r="146" spans="1:9" ht="23.1" customHeight="1">
      <c r="A146" s="5" t="s">
        <v>59</v>
      </c>
      <c r="B146" t="s">
        <v>30</v>
      </c>
      <c r="C146" s="6">
        <v>872</v>
      </c>
      <c r="D146" s="4" t="s">
        <v>484</v>
      </c>
      <c r="E146" s="4" t="s">
        <v>485</v>
      </c>
      <c r="F146" s="6" t="s">
        <v>62</v>
      </c>
      <c r="G146" s="6" t="s">
        <v>63</v>
      </c>
      <c r="H146" s="6"/>
      <c r="I146" t="s">
        <v>486</v>
      </c>
    </row>
    <row r="147" spans="1:9" ht="23.1" customHeight="1">
      <c r="A147" s="5" t="s">
        <v>59</v>
      </c>
      <c r="B147" t="s">
        <v>30</v>
      </c>
      <c r="C147" s="6">
        <v>108</v>
      </c>
      <c r="D147" s="4" t="s">
        <v>487</v>
      </c>
      <c r="E147" s="4" t="s">
        <v>488</v>
      </c>
      <c r="F147" s="6" t="s">
        <v>62</v>
      </c>
      <c r="G147" s="6" t="s">
        <v>63</v>
      </c>
      <c r="H147" s="6"/>
      <c r="I147" t="s">
        <v>489</v>
      </c>
    </row>
    <row r="148" spans="1:9" ht="23.1" customHeight="1">
      <c r="A148" s="5" t="s">
        <v>59</v>
      </c>
      <c r="B148" t="s">
        <v>30</v>
      </c>
      <c r="C148" s="6">
        <v>700</v>
      </c>
      <c r="D148" s="4" t="s">
        <v>490</v>
      </c>
      <c r="E148" s="4" t="s">
        <v>491</v>
      </c>
      <c r="F148" s="6" t="s">
        <v>62</v>
      </c>
      <c r="G148" s="6" t="s">
        <v>63</v>
      </c>
      <c r="H148" s="6"/>
      <c r="I148" t="s">
        <v>492</v>
      </c>
    </row>
    <row r="149" spans="1:9" ht="23.1" customHeight="1">
      <c r="A149" s="5" t="s">
        <v>59</v>
      </c>
      <c r="B149" t="s">
        <v>30</v>
      </c>
      <c r="C149" s="6">
        <v>235</v>
      </c>
      <c r="D149" s="4" t="s">
        <v>493</v>
      </c>
      <c r="E149" s="4" t="s">
        <v>494</v>
      </c>
      <c r="F149" s="6" t="s">
        <v>62</v>
      </c>
      <c r="G149" s="6" t="s">
        <v>63</v>
      </c>
      <c r="H149" s="6"/>
      <c r="I149" t="s">
        <v>495</v>
      </c>
    </row>
    <row r="150" spans="1:9" ht="23.1" customHeight="1">
      <c r="A150" s="5" t="s">
        <v>59</v>
      </c>
      <c r="B150" t="s">
        <v>30</v>
      </c>
      <c r="C150" s="6">
        <v>530</v>
      </c>
      <c r="D150" s="4" t="s">
        <v>496</v>
      </c>
      <c r="E150" s="4" t="s">
        <v>497</v>
      </c>
      <c r="F150" s="6" t="s">
        <v>62</v>
      </c>
      <c r="G150" s="6" t="s">
        <v>63</v>
      </c>
      <c r="H150" s="6"/>
      <c r="I150" t="s">
        <v>498</v>
      </c>
    </row>
    <row r="151" spans="1:9" ht="23.1" customHeight="1">
      <c r="A151" s="5" t="s">
        <v>59</v>
      </c>
      <c r="B151" t="s">
        <v>30</v>
      </c>
      <c r="C151" s="6">
        <v>501</v>
      </c>
      <c r="D151" s="4" t="s">
        <v>499</v>
      </c>
      <c r="E151" s="4" t="s">
        <v>500</v>
      </c>
      <c r="F151" s="6" t="s">
        <v>62</v>
      </c>
      <c r="G151" s="6" t="s">
        <v>63</v>
      </c>
      <c r="H151" s="6"/>
      <c r="I151" t="s">
        <v>501</v>
      </c>
    </row>
    <row r="152" spans="1:9" ht="23.1" customHeight="1">
      <c r="A152" s="5" t="s">
        <v>59</v>
      </c>
      <c r="B152" t="s">
        <v>30</v>
      </c>
      <c r="C152" s="6">
        <v>653</v>
      </c>
      <c r="D152" s="4" t="s">
        <v>502</v>
      </c>
      <c r="E152" s="4" t="s">
        <v>503</v>
      </c>
      <c r="F152" s="6" t="s">
        <v>62</v>
      </c>
      <c r="G152" s="6" t="s">
        <v>63</v>
      </c>
      <c r="H152" s="6"/>
      <c r="I152" t="s">
        <v>504</v>
      </c>
    </row>
    <row r="153" spans="1:9" ht="23.1" customHeight="1">
      <c r="A153" s="5" t="s">
        <v>59</v>
      </c>
      <c r="B153" t="s">
        <v>30</v>
      </c>
      <c r="C153" s="6">
        <v>938</v>
      </c>
      <c r="D153" s="4" t="s">
        <v>505</v>
      </c>
      <c r="E153" s="4" t="s">
        <v>506</v>
      </c>
      <c r="F153" s="6" t="s">
        <v>62</v>
      </c>
      <c r="G153" s="6" t="s">
        <v>63</v>
      </c>
      <c r="H153" s="6"/>
      <c r="I153" t="s">
        <v>507</v>
      </c>
    </row>
    <row r="154" spans="1:9" ht="23.1" customHeight="1">
      <c r="A154" s="5" t="s">
        <v>59</v>
      </c>
      <c r="B154" t="s">
        <v>30</v>
      </c>
      <c r="C154" s="6">
        <v>589</v>
      </c>
      <c r="D154" s="4" t="s">
        <v>508</v>
      </c>
      <c r="E154" s="4" t="s">
        <v>509</v>
      </c>
      <c r="F154" s="6" t="s">
        <v>62</v>
      </c>
      <c r="G154" s="6" t="s">
        <v>63</v>
      </c>
      <c r="H154" s="6"/>
      <c r="I154" t="s">
        <v>510</v>
      </c>
    </row>
    <row r="155" spans="1:9" ht="23.1" customHeight="1">
      <c r="A155" s="5" t="s">
        <v>59</v>
      </c>
      <c r="B155" t="s">
        <v>30</v>
      </c>
      <c r="C155" s="6">
        <v>590</v>
      </c>
      <c r="D155" s="4" t="s">
        <v>511</v>
      </c>
      <c r="E155" s="4" t="s">
        <v>509</v>
      </c>
      <c r="F155" s="6" t="s">
        <v>62</v>
      </c>
      <c r="G155" s="6" t="s">
        <v>63</v>
      </c>
      <c r="H155" s="6"/>
      <c r="I155" t="s">
        <v>512</v>
      </c>
    </row>
    <row r="156" spans="1:9" ht="23.1" customHeight="1">
      <c r="A156" s="5" t="s">
        <v>59</v>
      </c>
      <c r="B156" t="s">
        <v>33</v>
      </c>
      <c r="C156" s="6">
        <v>566</v>
      </c>
      <c r="D156" s="4" t="s">
        <v>513</v>
      </c>
      <c r="E156" s="4" t="s">
        <v>514</v>
      </c>
      <c r="F156" s="6" t="s">
        <v>62</v>
      </c>
      <c r="G156" s="6" t="s">
        <v>63</v>
      </c>
      <c r="H156" s="6"/>
      <c r="I156" t="s">
        <v>515</v>
      </c>
    </row>
    <row r="157" spans="1:9" ht="23.1" customHeight="1">
      <c r="A157" s="5" t="s">
        <v>59</v>
      </c>
      <c r="B157" t="s">
        <v>33</v>
      </c>
      <c r="C157" s="6">
        <v>661</v>
      </c>
      <c r="D157" s="4" t="s">
        <v>516</v>
      </c>
      <c r="E157" s="4" t="s">
        <v>517</v>
      </c>
      <c r="F157" s="6" t="s">
        <v>62</v>
      </c>
      <c r="G157" s="6" t="s">
        <v>63</v>
      </c>
      <c r="H157" s="6"/>
      <c r="I157" t="s">
        <v>518</v>
      </c>
    </row>
    <row r="158" spans="1:9" ht="23.1" customHeight="1">
      <c r="A158" s="5" t="s">
        <v>59</v>
      </c>
      <c r="B158" t="s">
        <v>33</v>
      </c>
      <c r="C158" s="6">
        <v>766</v>
      </c>
      <c r="D158" s="4" t="s">
        <v>519</v>
      </c>
      <c r="E158" s="4" t="s">
        <v>520</v>
      </c>
      <c r="F158" s="6" t="s">
        <v>62</v>
      </c>
      <c r="G158" s="6" t="s">
        <v>63</v>
      </c>
      <c r="H158" s="6"/>
      <c r="I158" t="s">
        <v>521</v>
      </c>
    </row>
    <row r="159" spans="1:9" ht="23.1" customHeight="1">
      <c r="A159" s="5" t="s">
        <v>59</v>
      </c>
      <c r="B159" t="s">
        <v>33</v>
      </c>
      <c r="C159" s="6">
        <v>832</v>
      </c>
      <c r="D159" s="4" t="s">
        <v>522</v>
      </c>
      <c r="E159" s="4" t="s">
        <v>523</v>
      </c>
      <c r="F159" s="6" t="s">
        <v>62</v>
      </c>
      <c r="G159" s="6" t="s">
        <v>63</v>
      </c>
      <c r="H159" s="6"/>
      <c r="I159" t="s">
        <v>524</v>
      </c>
    </row>
    <row r="160" spans="1:9" ht="23.1" customHeight="1">
      <c r="A160" s="5" t="s">
        <v>59</v>
      </c>
      <c r="B160" t="s">
        <v>33</v>
      </c>
      <c r="C160" s="6">
        <v>867</v>
      </c>
      <c r="D160" s="4" t="s">
        <v>525</v>
      </c>
      <c r="E160" s="4" t="s">
        <v>526</v>
      </c>
      <c r="F160" s="6" t="s">
        <v>62</v>
      </c>
      <c r="G160" s="6" t="s">
        <v>63</v>
      </c>
      <c r="H160" s="6"/>
      <c r="I160" t="s">
        <v>527</v>
      </c>
    </row>
    <row r="161" spans="1:9" ht="23.1" customHeight="1">
      <c r="A161" s="5" t="s">
        <v>59</v>
      </c>
      <c r="B161" t="s">
        <v>33</v>
      </c>
      <c r="C161" s="6">
        <v>999</v>
      </c>
      <c r="D161" s="4" t="s">
        <v>528</v>
      </c>
      <c r="E161" s="4" t="s">
        <v>529</v>
      </c>
      <c r="F161" s="6" t="s">
        <v>62</v>
      </c>
      <c r="G161" s="6" t="s">
        <v>63</v>
      </c>
      <c r="H161" s="6"/>
      <c r="I161" t="s">
        <v>530</v>
      </c>
    </row>
    <row r="162" spans="1:9" ht="23.1" customHeight="1">
      <c r="A162" s="5" t="s">
        <v>59</v>
      </c>
      <c r="B162" t="s">
        <v>33</v>
      </c>
      <c r="C162" s="6">
        <v>1260</v>
      </c>
      <c r="D162" s="4" t="s">
        <v>531</v>
      </c>
      <c r="E162" s="4" t="s">
        <v>532</v>
      </c>
      <c r="F162" s="6" t="s">
        <v>62</v>
      </c>
      <c r="G162" s="6" t="s">
        <v>63</v>
      </c>
      <c r="H162" s="6"/>
      <c r="I162" t="s">
        <v>533</v>
      </c>
    </row>
    <row r="163" spans="1:9" ht="23.1" customHeight="1">
      <c r="A163" s="5" t="s">
        <v>59</v>
      </c>
      <c r="B163" t="s">
        <v>33</v>
      </c>
      <c r="C163" s="6">
        <v>1275</v>
      </c>
      <c r="D163" s="4" t="s">
        <v>534</v>
      </c>
      <c r="E163" s="4" t="s">
        <v>535</v>
      </c>
      <c r="F163" s="6" t="s">
        <v>62</v>
      </c>
      <c r="G163" s="6" t="s">
        <v>63</v>
      </c>
      <c r="H163" s="6"/>
      <c r="I163" t="s">
        <v>536</v>
      </c>
    </row>
    <row r="164" spans="1:9" ht="23.1" customHeight="1">
      <c r="A164" s="5" t="s">
        <v>59</v>
      </c>
      <c r="B164" t="s">
        <v>33</v>
      </c>
      <c r="C164" s="6">
        <v>1380</v>
      </c>
      <c r="D164" s="4" t="s">
        <v>537</v>
      </c>
      <c r="E164" s="4" t="s">
        <v>538</v>
      </c>
      <c r="F164" s="6" t="s">
        <v>62</v>
      </c>
      <c r="G164" s="6" t="s">
        <v>63</v>
      </c>
      <c r="H164" s="6"/>
      <c r="I164" t="s">
        <v>539</v>
      </c>
    </row>
    <row r="165" spans="1:9" ht="23.1" customHeight="1">
      <c r="A165" s="5" t="s">
        <v>59</v>
      </c>
      <c r="B165" t="s">
        <v>33</v>
      </c>
      <c r="C165" s="6">
        <v>1572</v>
      </c>
      <c r="D165" s="4" t="s">
        <v>540</v>
      </c>
      <c r="E165" s="4" t="s">
        <v>541</v>
      </c>
      <c r="F165" s="6" t="s">
        <v>62</v>
      </c>
      <c r="G165" s="6" t="s">
        <v>63</v>
      </c>
      <c r="H165" s="6"/>
      <c r="I165" t="s">
        <v>542</v>
      </c>
    </row>
    <row r="166" spans="1:9" ht="23.1" customHeight="1">
      <c r="A166" s="5" t="s">
        <v>59</v>
      </c>
      <c r="B166" t="s">
        <v>33</v>
      </c>
      <c r="C166" s="6">
        <v>1582</v>
      </c>
      <c r="D166" s="4" t="s">
        <v>543</v>
      </c>
      <c r="E166" s="4" t="s">
        <v>544</v>
      </c>
      <c r="F166" s="6" t="s">
        <v>62</v>
      </c>
      <c r="G166" s="6" t="s">
        <v>63</v>
      </c>
      <c r="H166" s="6"/>
      <c r="I166" t="s">
        <v>545</v>
      </c>
    </row>
    <row r="167" spans="1:9" ht="23.1" customHeight="1">
      <c r="A167" s="5" t="s">
        <v>59</v>
      </c>
      <c r="B167" t="s">
        <v>33</v>
      </c>
      <c r="C167" s="6">
        <v>1672</v>
      </c>
      <c r="D167" s="4" t="s">
        <v>546</v>
      </c>
      <c r="E167" s="4" t="s">
        <v>547</v>
      </c>
      <c r="F167" s="6" t="s">
        <v>62</v>
      </c>
      <c r="G167" s="6" t="s">
        <v>63</v>
      </c>
      <c r="H167" s="6"/>
      <c r="I167" t="s">
        <v>548</v>
      </c>
    </row>
    <row r="168" spans="1:9" ht="23.1" customHeight="1">
      <c r="A168" s="5" t="s">
        <v>59</v>
      </c>
      <c r="B168" t="s">
        <v>33</v>
      </c>
      <c r="C168" s="6">
        <v>2022</v>
      </c>
      <c r="D168" s="4" t="s">
        <v>549</v>
      </c>
      <c r="E168" s="4" t="s">
        <v>550</v>
      </c>
      <c r="F168" s="6" t="s">
        <v>62</v>
      </c>
      <c r="G168" s="6" t="s">
        <v>63</v>
      </c>
      <c r="H168" s="6"/>
      <c r="I168" t="s">
        <v>551</v>
      </c>
    </row>
    <row r="169" spans="1:9" ht="23.1" customHeight="1">
      <c r="A169" s="5" t="s">
        <v>59</v>
      </c>
      <c r="B169" t="s">
        <v>33</v>
      </c>
      <c r="C169" s="6">
        <v>2319</v>
      </c>
      <c r="D169" s="4" t="s">
        <v>552</v>
      </c>
      <c r="E169" s="4" t="s">
        <v>553</v>
      </c>
      <c r="F169" s="6" t="s">
        <v>62</v>
      </c>
      <c r="G169" s="6" t="s">
        <v>63</v>
      </c>
      <c r="H169" s="6"/>
      <c r="I169" t="s">
        <v>554</v>
      </c>
    </row>
    <row r="170" spans="1:9" ht="23.1" customHeight="1">
      <c r="A170" s="5" t="s">
        <v>59</v>
      </c>
      <c r="B170" t="s">
        <v>33</v>
      </c>
      <c r="C170" s="6">
        <v>2373</v>
      </c>
      <c r="D170" s="4" t="s">
        <v>555</v>
      </c>
      <c r="E170" s="4" t="s">
        <v>556</v>
      </c>
      <c r="F170" s="6" t="s">
        <v>62</v>
      </c>
      <c r="G170" s="6" t="s">
        <v>63</v>
      </c>
      <c r="H170" s="6"/>
      <c r="I170" t="s">
        <v>557</v>
      </c>
    </row>
    <row r="171" spans="1:9" ht="23.1" customHeight="1">
      <c r="A171" s="5" t="s">
        <v>59</v>
      </c>
      <c r="B171" t="s">
        <v>33</v>
      </c>
      <c r="C171" s="6">
        <v>463</v>
      </c>
      <c r="D171" s="4" t="s">
        <v>558</v>
      </c>
      <c r="E171" s="4" t="s">
        <v>559</v>
      </c>
      <c r="F171" s="6" t="s">
        <v>62</v>
      </c>
      <c r="G171" s="6" t="s">
        <v>63</v>
      </c>
      <c r="H171" s="6"/>
      <c r="I171" t="s">
        <v>560</v>
      </c>
    </row>
    <row r="172" spans="1:9" ht="23.1" customHeight="1">
      <c r="A172" s="5" t="s">
        <v>59</v>
      </c>
      <c r="B172" t="s">
        <v>33</v>
      </c>
      <c r="C172" s="6">
        <v>733</v>
      </c>
      <c r="D172" s="4" t="s">
        <v>561</v>
      </c>
      <c r="E172" s="4" t="s">
        <v>562</v>
      </c>
      <c r="F172" s="6" t="s">
        <v>62</v>
      </c>
      <c r="G172" s="6" t="s">
        <v>63</v>
      </c>
      <c r="H172" s="6"/>
      <c r="I172" t="s">
        <v>563</v>
      </c>
    </row>
    <row r="173" spans="1:9" ht="23.1" customHeight="1">
      <c r="A173" s="5" t="s">
        <v>59</v>
      </c>
      <c r="B173" t="s">
        <v>33</v>
      </c>
      <c r="C173" s="6">
        <v>997</v>
      </c>
      <c r="D173" s="4" t="s">
        <v>564</v>
      </c>
      <c r="E173" s="4" t="s">
        <v>565</v>
      </c>
      <c r="F173" s="6" t="s">
        <v>62</v>
      </c>
      <c r="G173" s="6" t="s">
        <v>63</v>
      </c>
      <c r="H173" s="6"/>
      <c r="I173" t="s">
        <v>566</v>
      </c>
    </row>
    <row r="174" spans="1:9" ht="23.1" customHeight="1">
      <c r="A174" s="5" t="s">
        <v>59</v>
      </c>
      <c r="B174" t="s">
        <v>33</v>
      </c>
      <c r="C174" s="6">
        <v>1791</v>
      </c>
      <c r="D174" s="4" t="s">
        <v>567</v>
      </c>
      <c r="E174" s="4" t="s">
        <v>568</v>
      </c>
      <c r="F174" s="6" t="s">
        <v>62</v>
      </c>
      <c r="G174" s="6" t="s">
        <v>63</v>
      </c>
      <c r="H174" s="6"/>
      <c r="I174" t="s">
        <v>569</v>
      </c>
    </row>
    <row r="175" spans="1:9" ht="23.1" customHeight="1">
      <c r="A175" s="5" t="s">
        <v>59</v>
      </c>
      <c r="B175" t="s">
        <v>33</v>
      </c>
      <c r="C175" s="6">
        <v>1971</v>
      </c>
      <c r="D175" s="4" t="s">
        <v>570</v>
      </c>
      <c r="E175" s="4" t="s">
        <v>571</v>
      </c>
      <c r="F175" s="6" t="s">
        <v>62</v>
      </c>
      <c r="G175" s="6" t="s">
        <v>63</v>
      </c>
      <c r="H175" s="6"/>
      <c r="I175" t="s">
        <v>572</v>
      </c>
    </row>
    <row r="176" spans="1:9" ht="23.1" customHeight="1">
      <c r="A176" s="5" t="s">
        <v>59</v>
      </c>
      <c r="B176" t="s">
        <v>36</v>
      </c>
      <c r="C176" s="6">
        <v>1480</v>
      </c>
      <c r="D176" s="4" t="s">
        <v>573</v>
      </c>
      <c r="E176" s="4" t="s">
        <v>574</v>
      </c>
      <c r="F176" s="6" t="s">
        <v>62</v>
      </c>
      <c r="G176" s="6" t="s">
        <v>63</v>
      </c>
      <c r="H176" s="6"/>
      <c r="I176" t="s">
        <v>575</v>
      </c>
    </row>
    <row r="177" spans="1:9" ht="23.1" customHeight="1">
      <c r="A177" s="5" t="s">
        <v>59</v>
      </c>
      <c r="B177" t="s">
        <v>36</v>
      </c>
      <c r="C177" s="6">
        <v>724</v>
      </c>
      <c r="D177" s="4" t="s">
        <v>576</v>
      </c>
      <c r="E177" s="4" t="s">
        <v>577</v>
      </c>
      <c r="F177" s="6" t="s">
        <v>62</v>
      </c>
      <c r="G177" s="6" t="s">
        <v>63</v>
      </c>
      <c r="H177" s="6"/>
      <c r="I177" t="s">
        <v>578</v>
      </c>
    </row>
    <row r="178" spans="1:9" ht="23.1" customHeight="1">
      <c r="A178" s="5" t="s">
        <v>59</v>
      </c>
      <c r="B178" t="s">
        <v>36</v>
      </c>
      <c r="C178" s="6">
        <v>1732</v>
      </c>
      <c r="D178" s="4" t="s">
        <v>579</v>
      </c>
      <c r="E178" s="4" t="s">
        <v>580</v>
      </c>
      <c r="F178" s="6" t="s">
        <v>62</v>
      </c>
      <c r="G178" s="6" t="s">
        <v>63</v>
      </c>
      <c r="H178" s="6"/>
      <c r="I178" t="s">
        <v>581</v>
      </c>
    </row>
    <row r="179" spans="1:9" ht="23.1" customHeight="1">
      <c r="A179" s="5" t="s">
        <v>59</v>
      </c>
      <c r="B179" t="s">
        <v>36</v>
      </c>
      <c r="C179" s="6">
        <v>303</v>
      </c>
      <c r="D179" s="4" t="s">
        <v>582</v>
      </c>
      <c r="E179" s="4" t="s">
        <v>583</v>
      </c>
      <c r="F179" s="6" t="s">
        <v>62</v>
      </c>
      <c r="G179" s="6" t="s">
        <v>63</v>
      </c>
      <c r="H179" s="6"/>
      <c r="I179" t="s">
        <v>584</v>
      </c>
    </row>
    <row r="180" spans="1:9" ht="23.1" customHeight="1">
      <c r="A180" s="5" t="s">
        <v>59</v>
      </c>
      <c r="B180" t="s">
        <v>36</v>
      </c>
      <c r="C180" s="6">
        <v>643</v>
      </c>
      <c r="D180" s="4" t="s">
        <v>585</v>
      </c>
      <c r="E180" s="4" t="s">
        <v>586</v>
      </c>
      <c r="F180" s="6" t="s">
        <v>62</v>
      </c>
      <c r="G180" s="6" t="s">
        <v>63</v>
      </c>
      <c r="H180" s="6"/>
      <c r="I180" t="s">
        <v>587</v>
      </c>
    </row>
    <row r="181" spans="1:9" ht="23.1" customHeight="1">
      <c r="A181" s="5" t="s">
        <v>59</v>
      </c>
      <c r="B181" t="s">
        <v>36</v>
      </c>
      <c r="C181" s="6">
        <v>1876</v>
      </c>
      <c r="D181" s="4" t="s">
        <v>588</v>
      </c>
      <c r="E181" s="4" t="s">
        <v>589</v>
      </c>
      <c r="F181" s="6" t="s">
        <v>62</v>
      </c>
      <c r="G181" s="6" t="s">
        <v>63</v>
      </c>
      <c r="H181" s="6"/>
      <c r="I181" t="s">
        <v>590</v>
      </c>
    </row>
    <row r="182" spans="1:9" ht="23.1" customHeight="1">
      <c r="A182" s="5" t="s">
        <v>59</v>
      </c>
      <c r="B182" t="s">
        <v>36</v>
      </c>
      <c r="C182" s="6">
        <v>2379</v>
      </c>
      <c r="D182" s="4" t="s">
        <v>591</v>
      </c>
      <c r="E182" s="4" t="s">
        <v>592</v>
      </c>
      <c r="F182" s="6" t="s">
        <v>62</v>
      </c>
      <c r="G182" s="6" t="s">
        <v>63</v>
      </c>
      <c r="H182" s="6"/>
      <c r="I182" t="s">
        <v>593</v>
      </c>
    </row>
    <row r="183" spans="1:9" ht="23.1" customHeight="1">
      <c r="A183" s="5" t="s">
        <v>59</v>
      </c>
      <c r="B183" t="s">
        <v>36</v>
      </c>
      <c r="C183" s="6">
        <v>1984</v>
      </c>
      <c r="D183" s="4" t="s">
        <v>594</v>
      </c>
      <c r="E183" s="4" t="s">
        <v>595</v>
      </c>
      <c r="F183" s="6" t="s">
        <v>62</v>
      </c>
      <c r="G183" s="6" t="s">
        <v>63</v>
      </c>
      <c r="H183" s="6"/>
      <c r="I183" t="s">
        <v>596</v>
      </c>
    </row>
    <row r="184" spans="1:9" ht="23.1" customHeight="1">
      <c r="A184" s="5" t="s">
        <v>59</v>
      </c>
      <c r="B184" t="s">
        <v>36</v>
      </c>
      <c r="C184" s="6">
        <v>1652</v>
      </c>
      <c r="D184" s="4" t="s">
        <v>597</v>
      </c>
      <c r="E184" s="4" t="s">
        <v>598</v>
      </c>
      <c r="F184" s="6" t="s">
        <v>62</v>
      </c>
      <c r="G184" s="6" t="s">
        <v>63</v>
      </c>
      <c r="H184" s="6"/>
      <c r="I184" t="s">
        <v>599</v>
      </c>
    </row>
    <row r="185" spans="1:9" ht="23.1" customHeight="1">
      <c r="A185" s="5" t="s">
        <v>59</v>
      </c>
      <c r="B185" t="s">
        <v>36</v>
      </c>
      <c r="C185" s="6">
        <v>1413</v>
      </c>
      <c r="D185" s="4" t="s">
        <v>600</v>
      </c>
      <c r="E185" s="4" t="s">
        <v>601</v>
      </c>
      <c r="F185" s="6" t="s">
        <v>62</v>
      </c>
      <c r="G185" s="6" t="s">
        <v>63</v>
      </c>
      <c r="H185" s="6"/>
      <c r="I185" t="s">
        <v>602</v>
      </c>
    </row>
    <row r="186" spans="1:9" ht="23.1" customHeight="1">
      <c r="A186" s="5" t="s">
        <v>59</v>
      </c>
      <c r="B186" t="s">
        <v>36</v>
      </c>
      <c r="C186" s="6">
        <v>2574</v>
      </c>
      <c r="D186" s="4" t="s">
        <v>603</v>
      </c>
      <c r="E186" s="4" t="s">
        <v>604</v>
      </c>
      <c r="F186" s="6" t="s">
        <v>62</v>
      </c>
      <c r="G186" s="6" t="s">
        <v>63</v>
      </c>
      <c r="H186" s="6"/>
      <c r="I186" t="s">
        <v>605</v>
      </c>
    </row>
    <row r="187" spans="1:9" ht="23.1" customHeight="1">
      <c r="A187" s="5" t="s">
        <v>59</v>
      </c>
      <c r="B187" t="s">
        <v>36</v>
      </c>
      <c r="C187" s="6">
        <v>1893</v>
      </c>
      <c r="D187" s="4" t="s">
        <v>606</v>
      </c>
      <c r="E187" s="4" t="s">
        <v>607</v>
      </c>
      <c r="F187" s="6" t="s">
        <v>62</v>
      </c>
      <c r="G187" s="6" t="s">
        <v>63</v>
      </c>
      <c r="H187" s="6"/>
      <c r="I187" t="s">
        <v>608</v>
      </c>
    </row>
    <row r="188" spans="1:9" ht="23.1" customHeight="1">
      <c r="A188" s="5" t="s">
        <v>59</v>
      </c>
      <c r="B188" t="s">
        <v>36</v>
      </c>
      <c r="C188" s="6">
        <v>1854</v>
      </c>
      <c r="D188" s="4" t="s">
        <v>609</v>
      </c>
      <c r="E188" s="4" t="s">
        <v>610</v>
      </c>
      <c r="F188" s="6" t="s">
        <v>62</v>
      </c>
      <c r="G188" s="6" t="s">
        <v>63</v>
      </c>
      <c r="H188" s="6"/>
      <c r="I188" t="s">
        <v>611</v>
      </c>
    </row>
    <row r="189" spans="1:9" ht="23.1" customHeight="1">
      <c r="A189" s="5" t="s">
        <v>59</v>
      </c>
      <c r="B189" t="s">
        <v>36</v>
      </c>
      <c r="C189" s="6">
        <v>121</v>
      </c>
      <c r="D189" s="4" t="s">
        <v>612</v>
      </c>
      <c r="E189" s="4" t="s">
        <v>613</v>
      </c>
      <c r="F189" s="6" t="s">
        <v>62</v>
      </c>
      <c r="G189" s="6" t="s">
        <v>63</v>
      </c>
      <c r="H189" s="6"/>
      <c r="I189" t="s">
        <v>614</v>
      </c>
    </row>
    <row r="190" spans="1:9" ht="23.1" customHeight="1">
      <c r="A190" s="5" t="s">
        <v>59</v>
      </c>
      <c r="B190" t="s">
        <v>36</v>
      </c>
      <c r="C190" s="6">
        <v>53</v>
      </c>
      <c r="D190" s="4" t="s">
        <v>615</v>
      </c>
      <c r="E190" s="4" t="s">
        <v>616</v>
      </c>
      <c r="F190" s="6" t="s">
        <v>62</v>
      </c>
      <c r="G190" s="6" t="s">
        <v>63</v>
      </c>
      <c r="H190" s="6"/>
      <c r="I190" t="s">
        <v>617</v>
      </c>
    </row>
    <row r="191" spans="1:9" ht="23.1" customHeight="1">
      <c r="A191" s="5" t="s">
        <v>59</v>
      </c>
      <c r="B191" t="s">
        <v>36</v>
      </c>
      <c r="C191" s="6">
        <v>605</v>
      </c>
      <c r="D191" s="4" t="s">
        <v>618</v>
      </c>
      <c r="E191" s="4" t="s">
        <v>619</v>
      </c>
      <c r="F191" s="6" t="s">
        <v>62</v>
      </c>
      <c r="G191" s="6" t="s">
        <v>63</v>
      </c>
      <c r="H191" s="6"/>
      <c r="I191" t="s">
        <v>620</v>
      </c>
    </row>
    <row r="192" spans="1:9" ht="23.1" customHeight="1">
      <c r="A192" s="5" t="s">
        <v>59</v>
      </c>
      <c r="B192" t="s">
        <v>36</v>
      </c>
      <c r="C192" s="6">
        <v>860</v>
      </c>
      <c r="D192" s="4" t="s">
        <v>621</v>
      </c>
      <c r="E192" s="4" t="s">
        <v>622</v>
      </c>
      <c r="F192" s="6" t="s">
        <v>62</v>
      </c>
      <c r="G192" s="6" t="s">
        <v>63</v>
      </c>
      <c r="H192" s="6"/>
      <c r="I192" t="s">
        <v>623</v>
      </c>
    </row>
    <row r="193" spans="1:9" ht="23.1" customHeight="1">
      <c r="A193" s="5" t="s">
        <v>59</v>
      </c>
      <c r="B193" t="s">
        <v>36</v>
      </c>
      <c r="C193" s="6">
        <v>509</v>
      </c>
      <c r="D193" s="4" t="s">
        <v>624</v>
      </c>
      <c r="E193" s="4" t="s">
        <v>625</v>
      </c>
      <c r="F193" s="6" t="s">
        <v>62</v>
      </c>
      <c r="G193" s="6" t="s">
        <v>63</v>
      </c>
      <c r="H193" s="6"/>
      <c r="I193" t="s">
        <v>626</v>
      </c>
    </row>
    <row r="194" spans="1:9" ht="23.1" customHeight="1">
      <c r="A194" s="5" t="s">
        <v>59</v>
      </c>
      <c r="B194" t="s">
        <v>36</v>
      </c>
      <c r="C194" s="6">
        <v>70</v>
      </c>
      <c r="D194" s="4" t="s">
        <v>627</v>
      </c>
      <c r="E194" s="4" t="s">
        <v>628</v>
      </c>
      <c r="F194" s="6" t="s">
        <v>62</v>
      </c>
      <c r="G194" s="6" t="s">
        <v>63</v>
      </c>
      <c r="H194" s="6"/>
      <c r="I194" t="s">
        <v>629</v>
      </c>
    </row>
    <row r="195" spans="1:9" ht="23.1" customHeight="1">
      <c r="A195" s="5" t="s">
        <v>59</v>
      </c>
      <c r="B195" t="s">
        <v>36</v>
      </c>
      <c r="C195" s="6">
        <v>746</v>
      </c>
      <c r="D195" s="4" t="s">
        <v>630</v>
      </c>
      <c r="E195" s="4" t="s">
        <v>631</v>
      </c>
      <c r="F195" s="6" t="s">
        <v>62</v>
      </c>
      <c r="G195" s="6" t="s">
        <v>63</v>
      </c>
      <c r="H195" s="6"/>
      <c r="I195" t="s">
        <v>632</v>
      </c>
    </row>
    <row r="196" spans="1:9" ht="23.1" customHeight="1">
      <c r="A196" s="5" t="s">
        <v>59</v>
      </c>
      <c r="B196" t="s">
        <v>36</v>
      </c>
      <c r="C196" s="6">
        <v>1137</v>
      </c>
      <c r="D196" s="4" t="s">
        <v>633</v>
      </c>
      <c r="E196" s="4" t="s">
        <v>634</v>
      </c>
      <c r="F196" s="6" t="s">
        <v>62</v>
      </c>
      <c r="G196" s="6" t="s">
        <v>63</v>
      </c>
      <c r="H196" s="6"/>
      <c r="I196" t="s">
        <v>635</v>
      </c>
    </row>
    <row r="197" spans="1:9" ht="23.1" customHeight="1">
      <c r="A197" s="5" t="s">
        <v>59</v>
      </c>
      <c r="B197" t="s">
        <v>39</v>
      </c>
      <c r="C197" s="6">
        <v>9</v>
      </c>
      <c r="D197" s="4" t="s">
        <v>636</v>
      </c>
      <c r="E197" s="4" t="s">
        <v>637</v>
      </c>
      <c r="F197" s="6" t="s">
        <v>62</v>
      </c>
      <c r="G197" s="6" t="s">
        <v>63</v>
      </c>
      <c r="H197" s="6" t="s">
        <v>130</v>
      </c>
      <c r="I197" t="s">
        <v>638</v>
      </c>
    </row>
    <row r="198" spans="1:9" ht="23.1" customHeight="1">
      <c r="A198" s="5" t="s">
        <v>59</v>
      </c>
      <c r="B198" t="s">
        <v>39</v>
      </c>
      <c r="C198" s="6">
        <v>13</v>
      </c>
      <c r="D198" s="4" t="s">
        <v>639</v>
      </c>
      <c r="E198" s="4" t="s">
        <v>640</v>
      </c>
      <c r="F198" s="6" t="s">
        <v>62</v>
      </c>
      <c r="G198" s="6" t="s">
        <v>63</v>
      </c>
      <c r="H198" s="6" t="s">
        <v>130</v>
      </c>
      <c r="I198" t="s">
        <v>641</v>
      </c>
    </row>
    <row r="199" spans="1:9" ht="23.1" customHeight="1">
      <c r="A199" s="5" t="s">
        <v>59</v>
      </c>
      <c r="B199" t="s">
        <v>39</v>
      </c>
      <c r="C199" s="6">
        <v>67</v>
      </c>
      <c r="D199" s="4" t="s">
        <v>642</v>
      </c>
      <c r="E199" s="4" t="s">
        <v>643</v>
      </c>
      <c r="F199" s="6" t="s">
        <v>62</v>
      </c>
      <c r="G199" s="6" t="s">
        <v>63</v>
      </c>
      <c r="H199" s="6"/>
      <c r="I199" t="s">
        <v>644</v>
      </c>
    </row>
    <row r="200" spans="1:9" ht="23.1" customHeight="1">
      <c r="A200" s="5" t="s">
        <v>59</v>
      </c>
      <c r="B200" t="s">
        <v>39</v>
      </c>
      <c r="C200" s="6">
        <v>136</v>
      </c>
      <c r="D200" s="4" t="s">
        <v>645</v>
      </c>
      <c r="E200" s="4" t="s">
        <v>646</v>
      </c>
      <c r="F200" s="6" t="s">
        <v>62</v>
      </c>
      <c r="G200" s="6" t="s">
        <v>63</v>
      </c>
      <c r="H200" s="6"/>
      <c r="I200" t="s">
        <v>647</v>
      </c>
    </row>
    <row r="201" spans="1:9" ht="23.1" customHeight="1">
      <c r="A201" s="5" t="s">
        <v>59</v>
      </c>
      <c r="B201" t="s">
        <v>39</v>
      </c>
      <c r="C201" s="6">
        <v>168</v>
      </c>
      <c r="D201" s="4" t="s">
        <v>648</v>
      </c>
      <c r="E201" s="4" t="s">
        <v>649</v>
      </c>
      <c r="F201" s="6" t="s">
        <v>62</v>
      </c>
      <c r="G201" s="6" t="s">
        <v>63</v>
      </c>
      <c r="H201" s="6"/>
      <c r="I201" t="s">
        <v>650</v>
      </c>
    </row>
    <row r="202" spans="1:9" ht="23.1" customHeight="1">
      <c r="A202" s="5" t="s">
        <v>59</v>
      </c>
      <c r="B202" t="s">
        <v>39</v>
      </c>
      <c r="C202" s="6">
        <v>171</v>
      </c>
      <c r="D202" s="4" t="s">
        <v>651</v>
      </c>
      <c r="E202" s="4" t="s">
        <v>652</v>
      </c>
      <c r="F202" s="6" t="s">
        <v>62</v>
      </c>
      <c r="G202" s="6" t="s">
        <v>63</v>
      </c>
      <c r="H202" s="6"/>
      <c r="I202" t="s">
        <v>653</v>
      </c>
    </row>
    <row r="203" spans="1:9" ht="23.1" customHeight="1">
      <c r="A203" s="5" t="s">
        <v>59</v>
      </c>
      <c r="B203" t="s">
        <v>39</v>
      </c>
      <c r="C203" s="6">
        <v>190</v>
      </c>
      <c r="D203" s="4" t="s">
        <v>654</v>
      </c>
      <c r="E203" s="4" t="s">
        <v>655</v>
      </c>
      <c r="F203" s="6" t="s">
        <v>62</v>
      </c>
      <c r="G203" s="6" t="s">
        <v>63</v>
      </c>
      <c r="H203" s="6"/>
      <c r="I203" t="s">
        <v>656</v>
      </c>
    </row>
    <row r="204" spans="1:9" ht="23.1" customHeight="1">
      <c r="A204" s="5" t="s">
        <v>59</v>
      </c>
      <c r="B204" t="s">
        <v>39</v>
      </c>
      <c r="C204" s="6">
        <v>191</v>
      </c>
      <c r="D204" s="4" t="s">
        <v>657</v>
      </c>
      <c r="E204" s="4" t="s">
        <v>658</v>
      </c>
      <c r="F204" s="6" t="s">
        <v>62</v>
      </c>
      <c r="G204" s="6" t="s">
        <v>63</v>
      </c>
      <c r="H204" s="6"/>
      <c r="I204" t="s">
        <v>659</v>
      </c>
    </row>
    <row r="205" spans="1:9" ht="23.1" customHeight="1">
      <c r="A205" s="5" t="s">
        <v>59</v>
      </c>
      <c r="B205" t="s">
        <v>39</v>
      </c>
      <c r="C205" s="6">
        <v>231</v>
      </c>
      <c r="D205" s="4" t="s">
        <v>660</v>
      </c>
      <c r="E205" s="4" t="s">
        <v>661</v>
      </c>
      <c r="F205" s="6" t="s">
        <v>62</v>
      </c>
      <c r="G205" s="6" t="s">
        <v>63</v>
      </c>
      <c r="H205" s="6"/>
      <c r="I205" t="s">
        <v>662</v>
      </c>
    </row>
    <row r="206" spans="1:9" ht="23.1" customHeight="1">
      <c r="A206" s="5" t="s">
        <v>59</v>
      </c>
      <c r="B206" t="s">
        <v>39</v>
      </c>
      <c r="C206" s="6">
        <v>258</v>
      </c>
      <c r="D206" s="4" t="s">
        <v>663</v>
      </c>
      <c r="E206" s="4" t="s">
        <v>664</v>
      </c>
      <c r="F206" s="6" t="s">
        <v>62</v>
      </c>
      <c r="G206" s="6" t="s">
        <v>63</v>
      </c>
      <c r="H206" s="6"/>
      <c r="I206" t="s">
        <v>665</v>
      </c>
    </row>
    <row r="207" spans="1:9" ht="23.1" customHeight="1">
      <c r="A207" s="5" t="s">
        <v>59</v>
      </c>
      <c r="B207" t="s">
        <v>39</v>
      </c>
      <c r="C207" s="6">
        <v>268</v>
      </c>
      <c r="D207" s="4" t="s">
        <v>666</v>
      </c>
      <c r="E207" s="4" t="s">
        <v>667</v>
      </c>
      <c r="F207" s="6" t="s">
        <v>62</v>
      </c>
      <c r="G207" s="6" t="s">
        <v>63</v>
      </c>
      <c r="H207" s="6"/>
      <c r="I207" t="s">
        <v>668</v>
      </c>
    </row>
    <row r="208" spans="1:9" ht="23.1" customHeight="1">
      <c r="A208" s="5" t="s">
        <v>59</v>
      </c>
      <c r="B208" t="s">
        <v>39</v>
      </c>
      <c r="C208" s="6">
        <v>326</v>
      </c>
      <c r="D208" s="4" t="s">
        <v>669</v>
      </c>
      <c r="E208" s="4" t="s">
        <v>670</v>
      </c>
      <c r="F208" s="6" t="s">
        <v>62</v>
      </c>
      <c r="G208" s="6" t="s">
        <v>63</v>
      </c>
      <c r="H208" s="6"/>
      <c r="I208" t="s">
        <v>671</v>
      </c>
    </row>
    <row r="209" spans="1:9" ht="23.1" customHeight="1">
      <c r="A209" s="5" t="s">
        <v>59</v>
      </c>
      <c r="B209" t="s">
        <v>39</v>
      </c>
      <c r="C209" s="6">
        <v>342</v>
      </c>
      <c r="D209" s="4" t="s">
        <v>672</v>
      </c>
      <c r="E209" s="4" t="s">
        <v>673</v>
      </c>
      <c r="F209" s="6" t="s">
        <v>62</v>
      </c>
      <c r="G209" s="6" t="s">
        <v>63</v>
      </c>
      <c r="H209" s="6"/>
      <c r="I209" t="s">
        <v>674</v>
      </c>
    </row>
    <row r="210" spans="1:9" ht="23.1" customHeight="1">
      <c r="A210" s="5" t="s">
        <v>59</v>
      </c>
      <c r="B210" t="s">
        <v>39</v>
      </c>
      <c r="C210" s="6">
        <v>405</v>
      </c>
      <c r="D210" s="4" t="s">
        <v>675</v>
      </c>
      <c r="E210" s="4" t="s">
        <v>676</v>
      </c>
      <c r="F210" s="6" t="s">
        <v>62</v>
      </c>
      <c r="G210" s="6" t="s">
        <v>63</v>
      </c>
      <c r="H210" s="6"/>
      <c r="I210" t="s">
        <v>677</v>
      </c>
    </row>
    <row r="211" spans="1:9" ht="23.1" customHeight="1">
      <c r="A211" s="5" t="s">
        <v>59</v>
      </c>
      <c r="B211" t="s">
        <v>39</v>
      </c>
      <c r="C211" s="6">
        <v>412</v>
      </c>
      <c r="D211" s="4" t="s">
        <v>678</v>
      </c>
      <c r="E211" s="4" t="s">
        <v>679</v>
      </c>
      <c r="F211" s="6" t="s">
        <v>62</v>
      </c>
      <c r="G211" s="6" t="s">
        <v>63</v>
      </c>
      <c r="H211" s="6"/>
      <c r="I211" t="s">
        <v>680</v>
      </c>
    </row>
    <row r="212" spans="1:9" ht="23.1" customHeight="1">
      <c r="A212" s="5" t="s">
        <v>59</v>
      </c>
      <c r="B212" t="s">
        <v>39</v>
      </c>
      <c r="C212" s="6">
        <v>461</v>
      </c>
      <c r="D212" s="4" t="s">
        <v>681</v>
      </c>
      <c r="E212" s="4" t="s">
        <v>682</v>
      </c>
      <c r="F212" s="6" t="s">
        <v>62</v>
      </c>
      <c r="G212" s="6" t="s">
        <v>63</v>
      </c>
      <c r="H212" s="6"/>
      <c r="I212" t="s">
        <v>683</v>
      </c>
    </row>
    <row r="213" spans="1:9" ht="23.1" customHeight="1">
      <c r="A213" s="5" t="s">
        <v>59</v>
      </c>
      <c r="B213" t="s">
        <v>39</v>
      </c>
      <c r="C213" s="6">
        <v>476</v>
      </c>
      <c r="D213" s="4" t="s">
        <v>684</v>
      </c>
      <c r="E213" s="4" t="s">
        <v>685</v>
      </c>
      <c r="F213" s="6" t="s">
        <v>62</v>
      </c>
      <c r="G213" s="6" t="s">
        <v>63</v>
      </c>
      <c r="H213" s="6"/>
      <c r="I213" t="s">
        <v>686</v>
      </c>
    </row>
    <row r="214" spans="1:9" ht="23.1" customHeight="1">
      <c r="A214" s="5" t="s">
        <v>59</v>
      </c>
      <c r="B214" t="s">
        <v>39</v>
      </c>
      <c r="C214" s="6">
        <v>693</v>
      </c>
      <c r="D214" s="4" t="s">
        <v>687</v>
      </c>
      <c r="E214" s="4" t="s">
        <v>688</v>
      </c>
      <c r="F214" s="6" t="s">
        <v>62</v>
      </c>
      <c r="G214" s="6" t="s">
        <v>63</v>
      </c>
      <c r="H214" s="6"/>
      <c r="I214" t="s">
        <v>689</v>
      </c>
    </row>
    <row r="215" spans="1:9" ht="23.1" customHeight="1">
      <c r="A215" s="5" t="s">
        <v>59</v>
      </c>
      <c r="B215" t="s">
        <v>39</v>
      </c>
      <c r="C215" s="6">
        <v>762</v>
      </c>
      <c r="D215" s="4" t="s">
        <v>690</v>
      </c>
      <c r="E215" s="4" t="s">
        <v>691</v>
      </c>
      <c r="F215" s="6" t="s">
        <v>62</v>
      </c>
      <c r="G215" s="6" t="s">
        <v>63</v>
      </c>
      <c r="H215" s="6"/>
      <c r="I215" t="s">
        <v>692</v>
      </c>
    </row>
    <row r="216" spans="1:9" ht="23.1" customHeight="1">
      <c r="A216" s="5" t="s">
        <v>59</v>
      </c>
      <c r="B216" t="s">
        <v>39</v>
      </c>
      <c r="C216" s="6">
        <v>1009</v>
      </c>
      <c r="D216" s="4" t="s">
        <v>693</v>
      </c>
      <c r="E216" s="4" t="s">
        <v>694</v>
      </c>
      <c r="F216" s="6" t="s">
        <v>62</v>
      </c>
      <c r="G216" s="6" t="s">
        <v>63</v>
      </c>
      <c r="H216" s="6"/>
      <c r="I216" t="s">
        <v>695</v>
      </c>
    </row>
    <row r="217" spans="1:9" ht="23.1" customHeight="1">
      <c r="A217" s="5" t="s">
        <v>59</v>
      </c>
      <c r="B217" t="s">
        <v>39</v>
      </c>
      <c r="C217" s="6">
        <v>1342</v>
      </c>
      <c r="D217" s="4" t="s">
        <v>696</v>
      </c>
      <c r="E217" s="4" t="s">
        <v>697</v>
      </c>
      <c r="F217" s="6" t="s">
        <v>62</v>
      </c>
      <c r="G217" s="6" t="s">
        <v>63</v>
      </c>
      <c r="H217" s="6"/>
      <c r="I217" t="s">
        <v>698</v>
      </c>
    </row>
    <row r="218" spans="1:9" ht="23.1" customHeight="1">
      <c r="A218" s="5" t="s">
        <v>59</v>
      </c>
      <c r="B218" t="s">
        <v>39</v>
      </c>
      <c r="C218" s="6">
        <v>1486</v>
      </c>
      <c r="D218" s="4" t="s">
        <v>699</v>
      </c>
      <c r="E218" s="4" t="s">
        <v>700</v>
      </c>
      <c r="F218" s="6" t="s">
        <v>62</v>
      </c>
      <c r="G218" s="6" t="s">
        <v>63</v>
      </c>
      <c r="H218" s="6"/>
      <c r="I218" t="s">
        <v>701</v>
      </c>
    </row>
    <row r="219" spans="1:9" ht="23.1" customHeight="1">
      <c r="A219" s="5" t="s">
        <v>59</v>
      </c>
      <c r="B219" t="s">
        <v>42</v>
      </c>
      <c r="C219" s="6">
        <v>703</v>
      </c>
      <c r="D219" s="4" t="s">
        <v>702</v>
      </c>
      <c r="E219" s="4" t="s">
        <v>703</v>
      </c>
      <c r="F219" s="6" t="s">
        <v>62</v>
      </c>
      <c r="G219" s="6" t="s">
        <v>63</v>
      </c>
      <c r="H219" s="6"/>
      <c r="I219" t="s">
        <v>704</v>
      </c>
    </row>
    <row r="220" spans="1:9" ht="23.1" customHeight="1">
      <c r="A220" s="5" t="s">
        <v>59</v>
      </c>
      <c r="B220" t="s">
        <v>42</v>
      </c>
      <c r="C220" s="6">
        <v>1046</v>
      </c>
      <c r="D220" s="4" t="s">
        <v>705</v>
      </c>
      <c r="E220" s="4" t="s">
        <v>706</v>
      </c>
      <c r="F220" s="6" t="s">
        <v>62</v>
      </c>
      <c r="G220" s="6" t="s">
        <v>63</v>
      </c>
      <c r="H220" s="6"/>
      <c r="I220" t="s">
        <v>707</v>
      </c>
    </row>
    <row r="221" spans="1:9" ht="23.1" customHeight="1">
      <c r="A221" s="5" t="s">
        <v>59</v>
      </c>
      <c r="B221" t="s">
        <v>42</v>
      </c>
      <c r="C221" s="6">
        <v>1337</v>
      </c>
      <c r="D221" s="4" t="s">
        <v>708</v>
      </c>
      <c r="E221" s="4" t="s">
        <v>709</v>
      </c>
      <c r="F221" s="6" t="s">
        <v>62</v>
      </c>
      <c r="G221" s="6" t="s">
        <v>63</v>
      </c>
      <c r="H221" s="6"/>
      <c r="I221" t="s">
        <v>710</v>
      </c>
    </row>
    <row r="222" spans="1:9" ht="23.1" customHeight="1">
      <c r="A222" s="5" t="s">
        <v>59</v>
      </c>
      <c r="B222" t="s">
        <v>42</v>
      </c>
      <c r="C222" s="6">
        <v>2558</v>
      </c>
      <c r="D222" s="4" t="s">
        <v>711</v>
      </c>
      <c r="E222" s="4" t="s">
        <v>712</v>
      </c>
      <c r="F222" s="6" t="s">
        <v>62</v>
      </c>
      <c r="G222" s="6" t="s">
        <v>63</v>
      </c>
      <c r="H222" s="6"/>
      <c r="I222" t="s">
        <v>713</v>
      </c>
    </row>
    <row r="223" spans="1:9" ht="23.1" customHeight="1">
      <c r="A223" s="5" t="s">
        <v>59</v>
      </c>
      <c r="B223" t="s">
        <v>42</v>
      </c>
      <c r="C223" s="6">
        <v>705</v>
      </c>
      <c r="D223" s="4" t="s">
        <v>714</v>
      </c>
      <c r="E223" s="4" t="s">
        <v>715</v>
      </c>
      <c r="F223" s="6" t="s">
        <v>62</v>
      </c>
      <c r="G223" s="6" t="s">
        <v>63</v>
      </c>
      <c r="H223" s="6"/>
      <c r="I223" t="s">
        <v>716</v>
      </c>
    </row>
    <row r="224" spans="1:9" ht="23.1" customHeight="1">
      <c r="A224" s="5" t="s">
        <v>59</v>
      </c>
      <c r="B224" t="s">
        <v>42</v>
      </c>
      <c r="C224" s="6">
        <v>706</v>
      </c>
      <c r="D224" s="4" t="s">
        <v>717</v>
      </c>
      <c r="E224" s="4" t="s">
        <v>718</v>
      </c>
      <c r="F224" s="6" t="s">
        <v>62</v>
      </c>
      <c r="G224" s="6" t="s">
        <v>63</v>
      </c>
      <c r="H224" s="6"/>
      <c r="I224" t="s">
        <v>719</v>
      </c>
    </row>
    <row r="225" spans="1:9" ht="23.1" customHeight="1">
      <c r="A225" s="5" t="s">
        <v>59</v>
      </c>
      <c r="B225" t="s">
        <v>42</v>
      </c>
      <c r="C225" s="6">
        <v>1603</v>
      </c>
      <c r="D225" s="4" t="s">
        <v>720</v>
      </c>
      <c r="E225" s="4" t="s">
        <v>721</v>
      </c>
      <c r="F225" s="6" t="s">
        <v>62</v>
      </c>
      <c r="G225" s="6" t="s">
        <v>63</v>
      </c>
      <c r="H225" s="6"/>
      <c r="I225" t="s">
        <v>722</v>
      </c>
    </row>
    <row r="226" spans="1:9" ht="23.1" customHeight="1">
      <c r="A226" s="5" t="s">
        <v>59</v>
      </c>
      <c r="B226" t="s">
        <v>42</v>
      </c>
      <c r="C226" s="6">
        <v>1656</v>
      </c>
      <c r="D226" s="4" t="s">
        <v>723</v>
      </c>
      <c r="E226" s="4" t="s">
        <v>724</v>
      </c>
      <c r="F226" s="6" t="s">
        <v>62</v>
      </c>
      <c r="G226" s="6" t="s">
        <v>63</v>
      </c>
      <c r="H226" s="6"/>
      <c r="I226" t="s">
        <v>725</v>
      </c>
    </row>
  </sheetData>
  <mergeCells count="2">
    <mergeCell ref="A1:J2"/>
    <mergeCell ref="A3:J3"/>
  </mergeCells>
  <phoneticPr fontId="8" type="noConversion"/>
  <conditionalFormatting sqref="G5:G226">
    <cfRule type="expression" dxfId="2" priority="1">
      <formula>G5="已完成"</formula>
    </cfRule>
    <cfRule type="expression" dxfId="1" priority="2">
      <formula>G5="需要复习"</formula>
    </cfRule>
  </conditionalFormatting>
  <dataValidations count="1">
    <dataValidation type="list" sqref="G5:G226" xr:uid="{00000000-0002-0000-0100-000000000000}">
      <formula1>"未开始,进行中,已完成,需要复习"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1" width="25" customWidth="1"/>
    <col min="2" max="2" width="10" customWidth="1"/>
    <col min="3" max="3" width="45" customWidth="1"/>
    <col min="4" max="4" width="28" customWidth="1"/>
    <col min="5" max="5" width="24" customWidth="1"/>
    <col min="6" max="6" width="70" customWidth="1"/>
    <col min="7" max="7" width="16" customWidth="1"/>
  </cols>
  <sheetData>
    <row r="1" spans="1:7" ht="32.1" customHeight="1">
      <c r="A1" s="13" t="s">
        <v>726</v>
      </c>
      <c r="B1" s="13"/>
      <c r="C1" s="13"/>
      <c r="D1" s="13"/>
      <c r="E1" s="13"/>
      <c r="F1" s="13"/>
      <c r="G1" s="13"/>
    </row>
    <row r="2" spans="1:7" ht="32.1" customHeight="1">
      <c r="A2" s="13"/>
      <c r="B2" s="13"/>
      <c r="C2" s="13"/>
      <c r="D2" s="13"/>
      <c r="E2" s="13"/>
      <c r="F2" s="13"/>
      <c r="G2" s="13"/>
    </row>
    <row r="3" spans="1:7" ht="24.95" customHeight="1">
      <c r="A3" s="17" t="s">
        <v>727</v>
      </c>
      <c r="B3" s="17"/>
      <c r="C3" s="17"/>
      <c r="D3" s="17"/>
      <c r="E3" s="17"/>
      <c r="F3" s="17"/>
      <c r="G3" s="17"/>
    </row>
    <row r="4" spans="1:7" ht="27.95" customHeight="1">
      <c r="A4" s="3" t="s">
        <v>728</v>
      </c>
      <c r="B4" s="3" t="s">
        <v>51</v>
      </c>
      <c r="C4" s="3" t="s">
        <v>52</v>
      </c>
      <c r="D4" s="3" t="s">
        <v>729</v>
      </c>
      <c r="E4" s="3" t="s">
        <v>730</v>
      </c>
      <c r="F4" s="3" t="s">
        <v>731</v>
      </c>
      <c r="G4" s="3" t="s">
        <v>55</v>
      </c>
    </row>
    <row r="5" spans="1:7" ht="23.1" customHeight="1">
      <c r="A5" t="s">
        <v>732</v>
      </c>
      <c r="B5">
        <v>3</v>
      </c>
      <c r="C5" t="s">
        <v>733</v>
      </c>
      <c r="D5" t="s">
        <v>734</v>
      </c>
      <c r="E5" t="s">
        <v>735</v>
      </c>
      <c r="F5" t="s">
        <v>736</v>
      </c>
      <c r="G5" t="s">
        <v>63</v>
      </c>
    </row>
    <row r="6" spans="1:7" ht="23.1" customHeight="1">
      <c r="A6" t="s">
        <v>732</v>
      </c>
      <c r="B6">
        <v>11</v>
      </c>
      <c r="C6" t="s">
        <v>737</v>
      </c>
      <c r="D6" t="s">
        <v>738</v>
      </c>
      <c r="E6" t="s">
        <v>739</v>
      </c>
      <c r="F6" t="s">
        <v>740</v>
      </c>
      <c r="G6" t="s">
        <v>63</v>
      </c>
    </row>
    <row r="7" spans="1:7" ht="23.1" customHeight="1">
      <c r="A7" t="s">
        <v>732</v>
      </c>
      <c r="B7">
        <v>15</v>
      </c>
      <c r="C7" t="s">
        <v>741</v>
      </c>
      <c r="D7" t="s">
        <v>742</v>
      </c>
      <c r="E7" t="s">
        <v>743</v>
      </c>
      <c r="F7" t="s">
        <v>744</v>
      </c>
      <c r="G7" t="s">
        <v>63</v>
      </c>
    </row>
    <row r="8" spans="1:7" ht="23.1" customHeight="1">
      <c r="A8" t="s">
        <v>732</v>
      </c>
      <c r="B8">
        <v>49</v>
      </c>
      <c r="C8" t="s">
        <v>745</v>
      </c>
      <c r="D8" t="s">
        <v>746</v>
      </c>
      <c r="E8" t="s">
        <v>747</v>
      </c>
      <c r="F8" t="s">
        <v>748</v>
      </c>
      <c r="G8" t="s">
        <v>63</v>
      </c>
    </row>
    <row r="9" spans="1:7" ht="23.1" customHeight="1">
      <c r="A9" t="s">
        <v>732</v>
      </c>
      <c r="B9">
        <v>56</v>
      </c>
      <c r="C9" t="s">
        <v>749</v>
      </c>
      <c r="D9" t="s">
        <v>750</v>
      </c>
      <c r="E9" t="s">
        <v>751</v>
      </c>
      <c r="F9" t="s">
        <v>752</v>
      </c>
      <c r="G9" t="s">
        <v>63</v>
      </c>
    </row>
    <row r="10" spans="1:7" ht="23.1" customHeight="1">
      <c r="A10" t="s">
        <v>732</v>
      </c>
      <c r="B10">
        <v>75</v>
      </c>
      <c r="C10" t="s">
        <v>753</v>
      </c>
      <c r="D10" t="s">
        <v>754</v>
      </c>
      <c r="E10" t="s">
        <v>755</v>
      </c>
      <c r="F10" t="s">
        <v>756</v>
      </c>
      <c r="G10" t="s">
        <v>63</v>
      </c>
    </row>
    <row r="11" spans="1:7" ht="23.1" customHeight="1">
      <c r="A11" t="s">
        <v>732</v>
      </c>
      <c r="B11">
        <v>209</v>
      </c>
      <c r="C11" t="s">
        <v>757</v>
      </c>
      <c r="D11" t="s">
        <v>758</v>
      </c>
      <c r="E11" t="s">
        <v>759</v>
      </c>
      <c r="F11" t="s">
        <v>760</v>
      </c>
      <c r="G11" t="s">
        <v>63</v>
      </c>
    </row>
    <row r="12" spans="1:7" ht="23.1" customHeight="1">
      <c r="A12" t="s">
        <v>732</v>
      </c>
      <c r="B12">
        <v>238</v>
      </c>
      <c r="C12" t="s">
        <v>761</v>
      </c>
      <c r="D12" t="s">
        <v>762</v>
      </c>
      <c r="E12" t="s">
        <v>763</v>
      </c>
      <c r="F12" t="s">
        <v>764</v>
      </c>
      <c r="G12" t="s">
        <v>63</v>
      </c>
    </row>
    <row r="13" spans="1:7" ht="23.1" customHeight="1">
      <c r="A13" t="s">
        <v>765</v>
      </c>
      <c r="B13">
        <v>2</v>
      </c>
      <c r="C13" t="s">
        <v>766</v>
      </c>
      <c r="D13" t="s">
        <v>767</v>
      </c>
      <c r="E13" t="s">
        <v>768</v>
      </c>
      <c r="F13" t="s">
        <v>769</v>
      </c>
      <c r="G13" t="s">
        <v>63</v>
      </c>
    </row>
    <row r="14" spans="1:7" ht="23.1" customHeight="1">
      <c r="A14" t="s">
        <v>765</v>
      </c>
      <c r="B14">
        <v>19</v>
      </c>
      <c r="C14" t="s">
        <v>770</v>
      </c>
      <c r="D14" t="s">
        <v>261</v>
      </c>
      <c r="E14" t="s">
        <v>771</v>
      </c>
      <c r="F14" t="s">
        <v>772</v>
      </c>
      <c r="G14" t="s">
        <v>63</v>
      </c>
    </row>
    <row r="15" spans="1:7" ht="23.1" customHeight="1">
      <c r="A15" t="s">
        <v>765</v>
      </c>
      <c r="B15">
        <v>24</v>
      </c>
      <c r="C15" t="s">
        <v>773</v>
      </c>
      <c r="D15" t="s">
        <v>774</v>
      </c>
      <c r="E15" t="s">
        <v>775</v>
      </c>
      <c r="F15" t="s">
        <v>776</v>
      </c>
      <c r="G15" t="s">
        <v>63</v>
      </c>
    </row>
    <row r="16" spans="1:7" ht="23.1" customHeight="1">
      <c r="A16" t="s">
        <v>765</v>
      </c>
      <c r="B16">
        <v>92</v>
      </c>
      <c r="C16" t="s">
        <v>777</v>
      </c>
      <c r="D16" t="s">
        <v>778</v>
      </c>
      <c r="E16" t="s">
        <v>779</v>
      </c>
      <c r="F16" t="s">
        <v>780</v>
      </c>
      <c r="G16" t="s">
        <v>63</v>
      </c>
    </row>
    <row r="17" spans="1:7" ht="23.1" customHeight="1">
      <c r="A17" t="s">
        <v>765</v>
      </c>
      <c r="B17">
        <v>102</v>
      </c>
      <c r="C17" t="s">
        <v>781</v>
      </c>
      <c r="D17" t="s">
        <v>782</v>
      </c>
      <c r="E17" t="s">
        <v>783</v>
      </c>
      <c r="F17" t="s">
        <v>784</v>
      </c>
      <c r="G17" t="s">
        <v>63</v>
      </c>
    </row>
    <row r="18" spans="1:7" ht="23.1" customHeight="1">
      <c r="A18" t="s">
        <v>765</v>
      </c>
      <c r="B18">
        <v>98</v>
      </c>
      <c r="C18" t="s">
        <v>785</v>
      </c>
      <c r="D18" t="s">
        <v>786</v>
      </c>
      <c r="E18" t="s">
        <v>787</v>
      </c>
      <c r="F18" t="s">
        <v>788</v>
      </c>
      <c r="G18" t="s">
        <v>63</v>
      </c>
    </row>
    <row r="19" spans="1:7" ht="23.1" customHeight="1">
      <c r="A19" t="s">
        <v>765</v>
      </c>
      <c r="B19">
        <v>739</v>
      </c>
      <c r="C19" t="s">
        <v>789</v>
      </c>
      <c r="D19" t="s">
        <v>401</v>
      </c>
      <c r="E19" t="s">
        <v>790</v>
      </c>
      <c r="F19" t="s">
        <v>791</v>
      </c>
      <c r="G19" t="s">
        <v>63</v>
      </c>
    </row>
    <row r="20" spans="1:7" ht="23.1" customHeight="1">
      <c r="A20" t="s">
        <v>765</v>
      </c>
      <c r="B20">
        <v>236</v>
      </c>
      <c r="C20" t="s">
        <v>792</v>
      </c>
      <c r="D20" t="s">
        <v>793</v>
      </c>
      <c r="E20" t="s">
        <v>794</v>
      </c>
      <c r="F20" t="s">
        <v>795</v>
      </c>
      <c r="G20" t="s">
        <v>63</v>
      </c>
    </row>
    <row r="21" spans="1:7" ht="23.1" customHeight="1">
      <c r="A21" t="s">
        <v>796</v>
      </c>
      <c r="B21">
        <v>200</v>
      </c>
      <c r="C21" t="s">
        <v>797</v>
      </c>
      <c r="D21" t="s">
        <v>562</v>
      </c>
      <c r="E21" t="s">
        <v>798</v>
      </c>
      <c r="F21" t="s">
        <v>799</v>
      </c>
      <c r="G21" t="s">
        <v>63</v>
      </c>
    </row>
    <row r="22" spans="1:7" ht="23.1" customHeight="1">
      <c r="A22" t="s">
        <v>796</v>
      </c>
      <c r="B22">
        <v>994</v>
      </c>
      <c r="C22" t="s">
        <v>800</v>
      </c>
      <c r="D22" t="s">
        <v>801</v>
      </c>
      <c r="E22" t="s">
        <v>802</v>
      </c>
      <c r="F22" t="s">
        <v>803</v>
      </c>
      <c r="G22" t="s">
        <v>63</v>
      </c>
    </row>
    <row r="23" spans="1:7" ht="23.1" customHeight="1">
      <c r="A23" t="s">
        <v>796</v>
      </c>
      <c r="B23">
        <v>207</v>
      </c>
      <c r="C23" t="s">
        <v>804</v>
      </c>
      <c r="D23" t="s">
        <v>805</v>
      </c>
      <c r="E23" t="s">
        <v>806</v>
      </c>
      <c r="F23" t="s">
        <v>807</v>
      </c>
      <c r="G23" t="s">
        <v>63</v>
      </c>
    </row>
    <row r="24" spans="1:7" ht="23.1" customHeight="1">
      <c r="A24" t="s">
        <v>796</v>
      </c>
      <c r="B24">
        <v>208</v>
      </c>
      <c r="C24" t="s">
        <v>808</v>
      </c>
      <c r="D24" t="s">
        <v>809</v>
      </c>
      <c r="E24" t="s">
        <v>810</v>
      </c>
      <c r="F24" t="s">
        <v>811</v>
      </c>
      <c r="G24" t="s">
        <v>63</v>
      </c>
    </row>
    <row r="25" spans="1:7" ht="23.1" customHeight="1">
      <c r="A25" t="s">
        <v>796</v>
      </c>
      <c r="B25">
        <v>215</v>
      </c>
      <c r="C25" t="s">
        <v>812</v>
      </c>
      <c r="D25" t="s">
        <v>813</v>
      </c>
      <c r="E25" t="s">
        <v>814</v>
      </c>
      <c r="F25" t="s">
        <v>815</v>
      </c>
      <c r="G25" t="s">
        <v>63</v>
      </c>
    </row>
    <row r="26" spans="1:7" ht="23.1" customHeight="1">
      <c r="A26" t="s">
        <v>796</v>
      </c>
      <c r="B26">
        <v>347</v>
      </c>
      <c r="C26" t="s">
        <v>816</v>
      </c>
      <c r="D26" t="s">
        <v>817</v>
      </c>
      <c r="E26" t="s">
        <v>818</v>
      </c>
      <c r="F26" t="s">
        <v>819</v>
      </c>
      <c r="G26" t="s">
        <v>63</v>
      </c>
    </row>
    <row r="27" spans="1:7" ht="23.1" customHeight="1">
      <c r="A27" t="s">
        <v>796</v>
      </c>
      <c r="B27">
        <v>146</v>
      </c>
      <c r="C27" t="s">
        <v>820</v>
      </c>
      <c r="D27" t="s">
        <v>821</v>
      </c>
      <c r="E27" t="s">
        <v>822</v>
      </c>
      <c r="F27" t="s">
        <v>823</v>
      </c>
      <c r="G27" t="s">
        <v>63</v>
      </c>
    </row>
    <row r="28" spans="1:7" ht="23.1" customHeight="1">
      <c r="A28" t="s">
        <v>796</v>
      </c>
      <c r="B28">
        <v>684</v>
      </c>
      <c r="C28" t="s">
        <v>824</v>
      </c>
      <c r="D28" t="s">
        <v>825</v>
      </c>
      <c r="E28" t="s">
        <v>826</v>
      </c>
      <c r="F28" t="s">
        <v>827</v>
      </c>
      <c r="G28" t="s">
        <v>63</v>
      </c>
    </row>
    <row r="29" spans="1:7" ht="23.1" customHeight="1">
      <c r="A29" t="s">
        <v>796</v>
      </c>
      <c r="B29">
        <v>198</v>
      </c>
      <c r="C29" t="s">
        <v>828</v>
      </c>
      <c r="D29" t="s">
        <v>829</v>
      </c>
      <c r="E29" t="s">
        <v>830</v>
      </c>
      <c r="F29" t="s">
        <v>831</v>
      </c>
      <c r="G29" t="s">
        <v>63</v>
      </c>
    </row>
    <row r="30" spans="1:7" ht="23.1" customHeight="1">
      <c r="A30" t="s">
        <v>796</v>
      </c>
      <c r="B30">
        <v>322</v>
      </c>
      <c r="C30" t="s">
        <v>832</v>
      </c>
      <c r="D30" t="s">
        <v>833</v>
      </c>
      <c r="E30" t="s">
        <v>834</v>
      </c>
      <c r="F30" t="s">
        <v>835</v>
      </c>
      <c r="G30" t="s">
        <v>63</v>
      </c>
    </row>
    <row r="31" spans="1:7" ht="23.1" customHeight="1">
      <c r="A31" t="s">
        <v>796</v>
      </c>
      <c r="B31">
        <v>46</v>
      </c>
      <c r="C31" t="s">
        <v>836</v>
      </c>
      <c r="D31" t="s">
        <v>837</v>
      </c>
      <c r="E31" t="s">
        <v>838</v>
      </c>
      <c r="F31" t="s">
        <v>839</v>
      </c>
      <c r="G31" t="s">
        <v>63</v>
      </c>
    </row>
    <row r="32" spans="1:7" ht="23.1" customHeight="1">
      <c r="A32" t="s">
        <v>796</v>
      </c>
      <c r="B32">
        <v>78</v>
      </c>
      <c r="C32" t="s">
        <v>840</v>
      </c>
      <c r="D32" t="s">
        <v>837</v>
      </c>
      <c r="E32" t="s">
        <v>841</v>
      </c>
      <c r="F32" t="s">
        <v>842</v>
      </c>
      <c r="G32" t="s">
        <v>63</v>
      </c>
    </row>
  </sheetData>
  <mergeCells count="2">
    <mergeCell ref="A1:G2"/>
    <mergeCell ref="A3:G3"/>
  </mergeCells>
  <phoneticPr fontId="8" type="noConversion"/>
  <conditionalFormatting sqref="G5:G32">
    <cfRule type="expression" dxfId="0" priority="1">
      <formula>G5="已完成"</formula>
    </cfRule>
  </conditionalFormatting>
  <dataValidations count="1">
    <dataValidation type="list" sqref="G5:G32" xr:uid="{00000000-0002-0000-0200-000000000000}">
      <formula1>"未开始,进行中,已完成,需要复习"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/>
  </sheetViews>
  <sheetFormatPr defaultRowHeight="14.25"/>
  <cols>
    <col min="1" max="1" width="32" customWidth="1"/>
    <col min="2" max="2" width="105" customWidth="1"/>
  </cols>
  <sheetData>
    <row r="1" spans="1:6" ht="32.1" customHeight="1">
      <c r="A1" s="13" t="s">
        <v>843</v>
      </c>
      <c r="B1" s="13"/>
      <c r="C1" s="13"/>
      <c r="D1" s="13"/>
      <c r="E1" s="13"/>
      <c r="F1" s="13"/>
    </row>
    <row r="2" spans="1:6" ht="32.1" customHeight="1">
      <c r="A2" s="13"/>
      <c r="B2" s="13"/>
      <c r="C2" s="13"/>
      <c r="D2" s="13"/>
      <c r="E2" s="13"/>
      <c r="F2" s="13"/>
    </row>
    <row r="4" spans="1:6" ht="27.95" customHeight="1">
      <c r="A4" s="10" t="s">
        <v>844</v>
      </c>
      <c r="B4" s="11"/>
    </row>
    <row r="5" spans="1:6" ht="36.950000000000003" customHeight="1">
      <c r="A5" s="12" t="s">
        <v>845</v>
      </c>
      <c r="B5" s="4" t="s">
        <v>846</v>
      </c>
    </row>
    <row r="6" spans="1:6" ht="36.950000000000003" customHeight="1">
      <c r="A6" s="12" t="s">
        <v>847</v>
      </c>
      <c r="B6" s="4" t="s">
        <v>848</v>
      </c>
    </row>
    <row r="7" spans="1:6" ht="36.950000000000003" customHeight="1">
      <c r="A7" s="12" t="s">
        <v>849</v>
      </c>
      <c r="B7" s="4" t="s">
        <v>850</v>
      </c>
    </row>
    <row r="8" spans="1:6" ht="36.950000000000003" customHeight="1">
      <c r="A8" s="12" t="s">
        <v>851</v>
      </c>
      <c r="B8" s="4" t="s">
        <v>852</v>
      </c>
    </row>
    <row r="9" spans="1:6" ht="36.950000000000003" customHeight="1">
      <c r="A9" s="12" t="s">
        <v>853</v>
      </c>
      <c r="B9" s="4" t="s">
        <v>854</v>
      </c>
    </row>
    <row r="10" spans="1:6" ht="36.950000000000003" customHeight="1">
      <c r="A10" s="12" t="s">
        <v>855</v>
      </c>
      <c r="B10" s="4" t="s">
        <v>856</v>
      </c>
    </row>
    <row r="11" spans="1:6" ht="36.950000000000003" customHeight="1">
      <c r="A11" s="12" t="s">
        <v>857</v>
      </c>
      <c r="B11" s="4" t="s">
        <v>858</v>
      </c>
    </row>
    <row r="12" spans="1:6" ht="36.950000000000003" customHeight="1">
      <c r="A12" s="12" t="s">
        <v>859</v>
      </c>
      <c r="B12" s="4" t="s">
        <v>860</v>
      </c>
    </row>
    <row r="13" spans="1:6" ht="36.950000000000003" customHeight="1">
      <c r="A13" s="12" t="s">
        <v>861</v>
      </c>
      <c r="B13" s="4" t="s">
        <v>862</v>
      </c>
    </row>
    <row r="14" spans="1:6" ht="27.95" customHeight="1">
      <c r="A14" s="10" t="s">
        <v>863</v>
      </c>
      <c r="B14" s="11"/>
    </row>
    <row r="15" spans="1:6" ht="36.950000000000003" customHeight="1">
      <c r="A15" t="s">
        <v>864</v>
      </c>
      <c r="B15" s="4" t="s">
        <v>865</v>
      </c>
    </row>
    <row r="16" spans="1:6" ht="36.950000000000003" customHeight="1">
      <c r="A16" t="s">
        <v>866</v>
      </c>
      <c r="B16" s="4" t="s">
        <v>867</v>
      </c>
    </row>
    <row r="17" spans="1:2" ht="36.950000000000003" customHeight="1">
      <c r="A17" t="s">
        <v>868</v>
      </c>
      <c r="B17" s="4" t="s">
        <v>869</v>
      </c>
    </row>
    <row r="18" spans="1:2" ht="36.950000000000003" customHeight="1">
      <c r="A18" t="s">
        <v>870</v>
      </c>
      <c r="B18" s="4" t="s">
        <v>871</v>
      </c>
    </row>
    <row r="19" spans="1:2" ht="36.950000000000003" customHeight="1">
      <c r="A19" t="s">
        <v>872</v>
      </c>
      <c r="B19" s="4" t="s">
        <v>873</v>
      </c>
    </row>
    <row r="20" spans="1:2" ht="36.950000000000003" customHeight="1">
      <c r="A20" t="s">
        <v>874</v>
      </c>
      <c r="B20" s="4" t="s">
        <v>875</v>
      </c>
    </row>
  </sheetData>
  <mergeCells count="1">
    <mergeCell ref="A1:F2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学习总览</vt:lpstr>
      <vt:lpstr>Easy题单</vt:lpstr>
      <vt:lpstr>Medium进阶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LUO, XIAOYU (UG)</cp:lastModifiedBy>
  <dcterms:modified xsi:type="dcterms:W3CDTF">2026-10-20T03:06:44Z</dcterms:modified>
</cp:coreProperties>
</file>